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sults" state="visible" r:id="rId5"/>
    <sheet sheetId="3" name="Coverage" state="visible" r:id="rId6"/>
    <sheet sheetId="4" name="Defects" state="visible" r:id="rId7"/>
    <sheet sheetId="5" name="Attempts" state="visible" r:id="rId8"/>
  </sheets>
  <calcPr calcId="171027"/>
</workbook>
</file>

<file path=xl/sharedStrings.xml><?xml version="1.0" encoding="utf-8"?>
<sst xmlns="http://schemas.openxmlformats.org/spreadsheetml/2006/main" count="1152" uniqueCount="419">
  <si>
    <t>BeastCode Chat &amp; Messaging System — Test Execution Report</t>
  </si>
  <si>
    <t>Automated QA Validation Suite — Comprehensive Multi-Layer Test Execution</t>
  </si>
  <si>
    <t>EXECUTION METADATA</t>
  </si>
  <si>
    <t>Test Run ID</t>
  </si>
  <si>
    <t>qa_20260925025649_87crp</t>
  </si>
  <si>
    <t>Execution Timestamp</t>
  </si>
  <si>
    <t>2026-09-25T02:56:49.293Z</t>
  </si>
  <si>
    <t>Duration Total</t>
  </si>
  <si>
    <t>202.8s</t>
  </si>
  <si>
    <t>Server Environment</t>
  </si>
  <si>
    <t>http://localhost:3005</t>
  </si>
  <si>
    <t>OS Platform</t>
  </si>
  <si>
    <t>linux (Node v24.16.0)</t>
  </si>
  <si>
    <t>Browser Engine</t>
  </si>
  <si>
    <t>Google Chrome 150.0.7871.186 (Headless)</t>
  </si>
  <si>
    <t>Firebase Project</t>
  </si>
  <si>
    <t>beastcode-7555e</t>
  </si>
  <si>
    <t>TEST METRICS</t>
  </si>
  <si>
    <t>Total Cases Defined</t>
  </si>
  <si>
    <t>Passed</t>
  </si>
  <si>
    <t>Failed</t>
  </si>
  <si>
    <t>Blocked</t>
  </si>
  <si>
    <t>Skipped</t>
  </si>
  <si>
    <t>Pass Rate</t>
  </si>
  <si>
    <t>FEATURE BREAKDOWN</t>
  </si>
  <si>
    <t>Feature ID</t>
  </si>
  <si>
    <t>Feature Name</t>
  </si>
  <si>
    <t>Total</t>
  </si>
  <si>
    <t>Status</t>
  </si>
  <si>
    <t>CHAT-NAV</t>
  </si>
  <si>
    <t>Chat Entry &amp; Navigation</t>
  </si>
  <si>
    <t>DEFECTS FOUND</t>
  </si>
  <si>
    <t>CHAT-DISC</t>
  </si>
  <si>
    <t>User Search &amp; Discovery</t>
  </si>
  <si>
    <t>VERIFIED</t>
  </si>
  <si>
    <t>CHAT-CONV</t>
  </si>
  <si>
    <t>Conversation Creation &amp; Lifecycle</t>
  </si>
  <si>
    <t>CHAT-LIST</t>
  </si>
  <si>
    <t>Conversation List &amp; Previews</t>
  </si>
  <si>
    <t>CHAT-MSG</t>
  </si>
  <si>
    <t>Text Messages &amp; Boundaries</t>
  </si>
  <si>
    <t>CHAT-SEND</t>
  </si>
  <si>
    <t>Send Interaction &amp; Idempotency</t>
  </si>
  <si>
    <t>CHAT-REALTIME</t>
  </si>
  <si>
    <t>Realtime Delivery &amp; Attribution</t>
  </si>
  <si>
    <t>CHAT-CONC</t>
  </si>
  <si>
    <t>Concurrency &amp; Ordering</t>
  </si>
  <si>
    <t>CHAT-HIST</t>
  </si>
  <si>
    <t>History &amp; Pagination</t>
  </si>
  <si>
    <t>CHAT-READ</t>
  </si>
  <si>
    <t>Read Receipts &amp; Unread Tracking</t>
  </si>
  <si>
    <t>CHAT-TYPE</t>
  </si>
  <si>
    <t>Typing Indicators</t>
  </si>
  <si>
    <t>CHAT-REACT</t>
  </si>
  <si>
    <t>Message Reactions</t>
  </si>
  <si>
    <t>CHAT-PIN</t>
  </si>
  <si>
    <t>Pinned Messages</t>
  </si>
  <si>
    <t>CHAT-EDIT</t>
  </si>
  <si>
    <t>Message Edits &amp; Soft Deletions</t>
  </si>
  <si>
    <t>CHAT-MEDIA</t>
  </si>
  <si>
    <t>Attachments &amp; Voice Notes</t>
  </si>
  <si>
    <t>CHAT-PERM</t>
  </si>
  <si>
    <t>Security, Moderation &amp; Blocking</t>
  </si>
  <si>
    <t>Test Case ID</t>
  </si>
  <si>
    <t>Priority</t>
  </si>
  <si>
    <t>Layer</t>
  </si>
  <si>
    <t>Scenario</t>
  </si>
  <si>
    <t>Duration (ms)</t>
  </si>
  <si>
    <t>Error Details</t>
  </si>
  <si>
    <t>Observed Evidence / Notes</t>
  </si>
  <si>
    <t>CHAT-NAV-001</t>
  </si>
  <si>
    <t>P0</t>
  </si>
  <si>
    <t>E2E</t>
  </si>
  <si>
    <t>Unauthenticated visitor accessing /messages</t>
  </si>
  <si>
    <t>FAIL</t>
  </si>
  <si>
    <t xml:space="preserve">page.waitForSelector: Timeout 15000ms exceeded.
Call log:
  - waiting for locator('text=BeastCode Messages, button:has-text("Sign In")') to be visible
</t>
  </si>
  <si>
    <t xml:space="preserve">page.waitForSelector: Timeout 15000ms exceeded.
Call log:
  - waiting for locator('text=BeastCode Messages, button:has-text("Sign In")') to be visible
    at runE2ETests (/home/juan/Work Space/leetcode-clone-youtube/tests/chat/e2e/chatE2E.test.ts:42:17)
    at async main (/home/juan/Work Space/leetcode-clone-youtube/scripts/run-chat-tests.ts:69:3)</t>
  </si>
  <si>
    <t>CHAT-NAV-002</t>
  </si>
  <si>
    <t>Authenticated user accessing /messages</t>
  </si>
  <si>
    <t>PASS</t>
  </si>
  <si>
    <t/>
  </si>
  <si>
    <t>Renders ChatShell with sidebar, topbar, and conversation list. Screenshot: reports/chat/evidence/chat_nav_002_authenticated.png</t>
  </si>
  <si>
    <t>CHAT-NAV-003</t>
  </si>
  <si>
    <t>P1</t>
  </si>
  <si>
    <t>Deep-linking directly to a conversation (/messages/[cid])</t>
  </si>
  <si>
    <t>Deep-link loaded conversation header and composer for dm_qa_user_a__87crp_qa_user_b__87crp. Screenshot: reports/chat/evidence/chat_nav_003_deeplink.png</t>
  </si>
  <si>
    <t>CHAT-NAV-004</t>
  </si>
  <si>
    <t>P2</t>
  </si>
  <si>
    <t>Deep-linking to non-existent conversation ID</t>
  </si>
  <si>
    <t xml:space="preserve">page.waitForSelector: Timeout 15000ms exceeded.
Call log:
  - waiting for locator('text=Messages, text=Select a chat, text=Conversation not found, text=BeastCode Real-Time Messenger') to be visible
</t>
  </si>
  <si>
    <t xml:space="preserve">page.waitForSelector: Timeout 15000ms exceeded.
Call log:
  - waiting for locator('text=Messages, text=Select a chat, text=Conversation not found, text=BeastCode Real-Time Messenger') to be visible
    at runE2ETests (/home/juan/Work Space/leetcode-clone-youtube/tests/chat/e2e/chatE2E.test.ts:144:17)
    at async main (/home/juan/Work Space/leetcode-clone-youtube/scripts/run-chat-tests.ts:69:3)</t>
  </si>
  <si>
    <t>CHAT-NAV-005</t>
  </si>
  <si>
    <t>Desktop auto-selection of first conversation</t>
  </si>
  <si>
    <t>First conversation automatically selected on desktop. Screenshot: reports/chat/evidence/chat_nav_005_desktop_autoselect.png</t>
  </si>
  <si>
    <t>CHAT-DISC-001</t>
  </si>
  <si>
    <t>API</t>
  </si>
  <si>
    <t>Search users by username query</t>
  </si>
  <si>
    <t>Found user: userb__87crp</t>
  </si>
  <si>
    <t>CHAT-DISC-002</t>
  </si>
  <si>
    <t>Search users by displayName query</t>
  </si>
  <si>
    <t>Found user by displayName</t>
  </si>
  <si>
    <t>CHAT-DISC-003</t>
  </si>
  <si>
    <t>Search query shorter than 2 characters</t>
  </si>
  <si>
    <t>Empty array returned for &lt;2 chars query</t>
  </si>
  <si>
    <t>CHAT-DISC-004</t>
  </si>
  <si>
    <t>Self-exclusion from search results</t>
  </si>
  <si>
    <t>Self successfully excluded from search</t>
  </si>
  <si>
    <t>CHAT-DISC-005</t>
  </si>
  <si>
    <t>Search with special/Unicode characters</t>
  </si>
  <si>
    <t>Unicode search query handled cleanly without 500 error</t>
  </si>
  <si>
    <t>CHAT-CONV-001</t>
  </si>
  <si>
    <t>Creating new direct conversation between User A and User B</t>
  </si>
  <si>
    <t>Canonical DM ID: dm_qa_user_a__87crp_qa_user_b__87crp</t>
  </si>
  <si>
    <t>CHAT-CONV-002</t>
  </si>
  <si>
    <t>Requesting direct conversation when one already exists</t>
  </si>
  <si>
    <t>Idempotent lookup confirmed with isExisting=true</t>
  </si>
  <si>
    <t>CHAT-CONV-003</t>
  </si>
  <si>
    <t>Attempting to create a self-conversation</t>
  </si>
  <si>
    <t>Self-messaging rejected with 400: [object Object]</t>
  </si>
  <si>
    <t>CHAT-CONV-004</t>
  </si>
  <si>
    <t>Attempting to create DM when blocked</t>
  </si>
  <si>
    <t>Blocked DM rejected with 403: [object Object]</t>
  </si>
  <si>
    <t>CHAT-CONV-005</t>
  </si>
  <si>
    <t>Creating organization channel as org staff/owner</t>
  </si>
  <si>
    <t>Created org channel: org_org_qa_20260925025649_87crp_staff-study-group-5311</t>
  </si>
  <si>
    <t>CHAT-CONV-006</t>
  </si>
  <si>
    <t>Creating organization channel as ordinary non-staff member</t>
  </si>
  <si>
    <t>Regular member channel creation blocked with 403: [object Object]</t>
  </si>
  <si>
    <t>CHAT-CONV-007</t>
  </si>
  <si>
    <t>Creating duplicate channel with conflicting name in same org</t>
  </si>
  <si>
    <t>Duplicate channel title returned 409 Conflict: [object Object]</t>
  </si>
  <si>
    <t>CHAT-LIST-001</t>
  </si>
  <si>
    <t>Conversation list includes last message preview and sender details</t>
  </si>
  <si>
    <t>Preview: 'Direct conversation initialized', Sender: 'User A (_87crp)'</t>
  </si>
  <si>
    <t>CHAT-LIST-002</t>
  </si>
  <si>
    <t>Conversations are ordered by lastActivityAt descending</t>
  </si>
  <si>
    <t>Verified descending order across 4 conversations</t>
  </si>
  <si>
    <t>CHAT-LIST-003</t>
  </si>
  <si>
    <t>Recipient unread status computation</t>
  </si>
  <si>
    <t>isUnread computed as true for recipient</t>
  </si>
  <si>
    <t>CHAT-MSG-001</t>
  </si>
  <si>
    <t>Sending standard text message</t>
  </si>
  <si>
    <t>Created message ID: ChBrdicPw3QHW9tierUb</t>
  </si>
  <si>
    <t>CHAT-MSG-002</t>
  </si>
  <si>
    <t>Sending multiline content with preserved line breaks</t>
  </si>
  <si>
    <t>Multiline text preserved exactly</t>
  </si>
  <si>
    <t>CHAT-MSG-003</t>
  </si>
  <si>
    <t>Sending empty or whitespace-only message</t>
  </si>
  <si>
    <t>Empty message rejected: [object Object]</t>
  </si>
  <si>
    <t>CHAT-MSG-004</t>
  </si>
  <si>
    <t>Sending Unicode, Vietnamese diacritics, and emoji characters</t>
  </si>
  <si>
    <t>Vietnamese diacritics and emojis preserved without mojibake</t>
  </si>
  <si>
    <t>CHAT-MSG-005</t>
  </si>
  <si>
    <t>Sending message at max length boundary (15,000 characters)</t>
  </si>
  <si>
    <t>Exact 15,000 characters accepted successfully</t>
  </si>
  <si>
    <t>CHAT-MSG-006</t>
  </si>
  <si>
    <t>Sending message exceeding max length (&gt;15,000 characters)</t>
  </si>
  <si>
    <t>Oversized message (15,001 chars) rejected: [object Object]</t>
  </si>
  <si>
    <t>CHAT-MSG-007</t>
  </si>
  <si>
    <t>Unit</t>
  </si>
  <si>
    <t>Mention extraction from message text</t>
  </si>
  <si>
    <t>Parsed mentions: ["alice","bob_42"] from input 'Hello @alice and @bob_42, please review code with @alice and ignore @x or @!'</t>
  </si>
  <si>
    <t>CHAT-SEND-001</t>
  </si>
  <si>
    <t>Message submission with clientMessageId</t>
  </si>
  <si>
    <t>clientMessageId stored: cm_idempotent_1790305071108</t>
  </si>
  <si>
    <t>CHAT-SEND-002</t>
  </si>
  <si>
    <t>Duplicate resend with identical clientMessageId</t>
  </si>
  <si>
    <t>Duplicate send returned existing message with isDuplicate: true</t>
  </si>
  <si>
    <t>CHAT-SEND-003</t>
  </si>
  <si>
    <t>Exceeding rate limit threshold (&gt;30 msgs/min)</t>
  </si>
  <si>
    <t>Rate limit enforced with 429: [object Object]</t>
  </si>
  <si>
    <t>CHAT-REALTIME-001</t>
  </si>
  <si>
    <t>Real-time message delivery from User A to User B in separate browser contexts</t>
  </si>
  <si>
    <t>Message arrived on Page B without browser refresh. Screenshot: reports/chat/evidence/chat_realtime_001_received.png</t>
  </si>
  <si>
    <t>CHAT-CONC-001</t>
  </si>
  <si>
    <t>Simultaneous concurrent message sends by both participants</t>
  </si>
  <si>
    <t>Both concurrent sends succeeded: Msg A=CoDOQXRXIkIwl4bdi7xx, Msg B=K4TNJAHlKL5pIAvmzIEa</t>
  </si>
  <si>
    <t>CHAT-HIST-001</t>
  </si>
  <si>
    <t>Paginated message fetch respecting limit query</t>
  </si>
  <si>
    <t>Fetched 5 messages with limit=5</t>
  </si>
  <si>
    <t>CHAT-HIST-002</t>
  </si>
  <si>
    <t>Pagination cursor using 'before' timestamp</t>
  </si>
  <si>
    <t>Retrieved earlier messages before cursor 1790305074142</t>
  </si>
  <si>
    <t>CHAT-READ-001</t>
  </si>
  <si>
    <t>Marking conversation as read updates read pointers</t>
  </si>
  <si>
    <t>Updated read pointer to 1790305090352</t>
  </si>
  <si>
    <t>CHAT-READ-002</t>
  </si>
  <si>
    <t>Unread count reconciliation after marking read</t>
  </si>
  <si>
    <t>isUnread reconciled to false after reading</t>
  </si>
  <si>
    <t>CHAT-TYPE-001</t>
  </si>
  <si>
    <t>Sending typing heartbeat creates ephemeral record</t>
  </si>
  <si>
    <t>Typing record created with 4s TTL</t>
  </si>
  <si>
    <t>CHAT-TYPE-002</t>
  </si>
  <si>
    <t>Clearing typing state deletes ephemeral record</t>
  </si>
  <si>
    <t>Typing record deleted via DELETE</t>
  </si>
  <si>
    <t>CHAT-TYPE-003</t>
  </si>
  <si>
    <t>Client typing hook filters out user's own typing</t>
  </si>
  <si>
    <t>Filtered list: [{"uid":"user_partner","displayName":"Partner","expiresAt":1790305021204}]</t>
  </si>
  <si>
    <t>CHAT-REACT-001</t>
  </si>
  <si>
    <t>Adding reaction to message</t>
  </si>
  <si>
    <t>Added reaction: {"🔥":["qa_user_a__87crp"]}</t>
  </si>
  <si>
    <t>CHAT-REACT-002</t>
  </si>
  <si>
    <t>Toggling reaction off removes UID and cleans empty key</t>
  </si>
  <si>
    <t>Reaction key removed when last user toggles off</t>
  </si>
  <si>
    <t>CHAT-PIN-001</t>
  </si>
  <si>
    <t>Direct message participant pins message</t>
  </si>
  <si>
    <t>Participant pinned message successfully</t>
  </si>
  <si>
    <t>CHAT-PIN-002</t>
  </si>
  <si>
    <t>Non-staff user attempts to pin in organization channel</t>
  </si>
  <si>
    <t>Non-staff pin blocked with 403: [object Object]</t>
  </si>
  <si>
    <t>CHAT-EDIT-001</t>
  </si>
  <si>
    <t>Author edits message within 24 hours</t>
  </si>
  <si>
    <t>Message edited and isEdited flag set to true</t>
  </si>
  <si>
    <t>CHAT-EDIT-002</t>
  </si>
  <si>
    <t>Non-author attempts to edit another user's message</t>
  </si>
  <si>
    <t>Non-author edit rejected with 403: [object Object]</t>
  </si>
  <si>
    <t>CHAT-EDIT-003</t>
  </si>
  <si>
    <t>Author attempts to edit message older than 24 hours</t>
  </si>
  <si>
    <t>Expired edit rejected</t>
  </si>
  <si>
    <t>CHAT-EDIT-004</t>
  </si>
  <si>
    <t>Attempting to edit an already-deleted message</t>
  </si>
  <si>
    <t>Editing deleted message rejected with 400: [object Object]</t>
  </si>
  <si>
    <t>CHAT-DEL-001</t>
  </si>
  <si>
    <t>Author soft-deletes their own message</t>
  </si>
  <si>
    <t>Message soft-deleted and text replaced</t>
  </si>
  <si>
    <t>CHAT-DEL-002</t>
  </si>
  <si>
    <t>Non-author regular user attempts to delete another's message</t>
  </si>
  <si>
    <t>Non-author delete blocked with 403: [object Object]</t>
  </si>
  <si>
    <t>CHAT-DEL-003</t>
  </si>
  <si>
    <t>Org staff deletes inappropriate message in channel</t>
  </si>
  <si>
    <t>Staff successfully moderated member message</t>
  </si>
  <si>
    <t>CHAT-MEDIA-001</t>
  </si>
  <si>
    <t>Upload valid PNG image attachment</t>
  </si>
  <si>
    <t>Uploaded PNG: /api/chat/attachment?cid=dm_qa_user_a__87crp_qa_user_b__87crp&amp;path=861868cc-67d7-4bda-82f6-d5e1ed6c393b.png</t>
  </si>
  <si>
    <t>CHAT-MEDIA-002</t>
  </si>
  <si>
    <t>Upload valid PDF document attachment</t>
  </si>
  <si>
    <t>Valid PDF uploaded</t>
  </si>
  <si>
    <t>CHAT-MEDIA-003</t>
  </si>
  <si>
    <t>Upload valid audio note with duration</t>
  </si>
  <si>
    <t>Audio note uploaded: duration=12</t>
  </si>
  <si>
    <t>CHAT-MEDIA-004</t>
  </si>
  <si>
    <t>Upload empty (0-byte) file</t>
  </si>
  <si>
    <t>Empty file rejected: [object Object]</t>
  </si>
  <si>
    <t>CHAT-MEDIA-005</t>
  </si>
  <si>
    <t>Upload file exceeding 15MB limit</t>
  </si>
  <si>
    <t>Oversized file rejected with status 413</t>
  </si>
  <si>
    <t>CHAT-MEDIA-006</t>
  </si>
  <si>
    <t>Upload file with spoofed extension and invalid magic bytes</t>
  </si>
  <si>
    <t>Spoofed extension rejected: [object Object]</t>
  </si>
  <si>
    <t>CHAT-MEDIA-007</t>
  </si>
  <si>
    <t>Authorized conversation participant streams attachment via proxy</t>
  </si>
  <si>
    <t>fetch failed</t>
  </si>
  <si>
    <t>TypeError: fetch failed</t>
  </si>
  <si>
    <t>CHAT-MEDIA-008</t>
  </si>
  <si>
    <t>Outsider User C attempts to download private attachment</t>
  </si>
  <si>
    <t>Outsider blocked with 403: [object Object]</t>
  </si>
  <si>
    <t>CHAT-MEDIA-009</t>
  </si>
  <si>
    <t>Path traversal attempt in attachment query (?path=../../etc/passwd)</t>
  </si>
  <si>
    <t>Path traversal blocked with 403: [object Object]</t>
  </si>
  <si>
    <t>CHAT-PERM-001</t>
  </si>
  <si>
    <t>Rules</t>
  </si>
  <si>
    <t>Firestore rules deny outsider User C reading /conversations/{cid}</t>
  </si>
  <si>
    <t>Firestore rules denied conversation read with permission-denied</t>
  </si>
  <si>
    <t>CHAT-PERM-002</t>
  </si>
  <si>
    <t>Firestore rules deny outsider User C reading /conversations/{cid}/messages</t>
  </si>
  <si>
    <t>Firestore rules denied message list read with permission-denied</t>
  </si>
  <si>
    <t>CHAT-PERM-003</t>
  </si>
  <si>
    <t>Firestore rules deny outsider User C creating messages in someone else's conversation</t>
  </si>
  <si>
    <t>VULNERABILITY: Firestore rules allow outsider User C to directly insert messages into conversations they do not belong to</t>
  </si>
  <si>
    <t>Missing isConversationParticipant check on message creation in firestore.rules</t>
  </si>
  <si>
    <t>CHAT-PERM-004</t>
  </si>
  <si>
    <t>Firestore rules reject spoofed senderId in messages</t>
  </si>
  <si>
    <t>Firestore rules denied spoofed senderId with permission-denied</t>
  </si>
  <si>
    <t>CHAT-PERM-005</t>
  </si>
  <si>
    <t>Direct message send blocked between blocked users</t>
  </si>
  <si>
    <t>Blocked user message rejected with 403: [object Object]</t>
  </si>
  <si>
    <t>CHAT-PERM-006</t>
  </si>
  <si>
    <t>Suspended or banned user cannot access chat endpoints</t>
  </si>
  <si>
    <t>Banned user blocked with 403: [object Object]</t>
  </si>
  <si>
    <t>CHAT-PERM-007</t>
  </si>
  <si>
    <t>Message reporting records snapshot in userReports collection</t>
  </si>
  <si>
    <t>Report created: ID WvNPfONQXI19HyEH3Je1</t>
  </si>
  <si>
    <t>CHAT-PERM-008</t>
  </si>
  <si>
    <t>Unauthenticated client receives 401 across all chat API routes</t>
  </si>
  <si>
    <t>Unauthenticated request rejected with 401 Unauthorized</t>
  </si>
  <si>
    <t>Description</t>
  </si>
  <si>
    <t>Total Cases</t>
  </si>
  <si>
    <t>Executed</t>
  </si>
  <si>
    <t>Coverage %</t>
  </si>
  <si>
    <t>Tested Areas</t>
  </si>
  <si>
    <t>Defects / Gaps Identified</t>
  </si>
  <si>
    <t>Entry points to /messages and /messages/[cid], deep-linking, auth gating, and empty state.</t>
  </si>
  <si>
    <t>src/pages/messages/index.tsx, src/pages/messages/[cid].tsx, src/components/Chat/ChatShell.tsx</t>
  </si>
  <si>
    <t>No active defects identified</t>
  </si>
  <si>
    <t>Autocomplete search for starting direct conversations, minimum length filtering, case-insensitivity.</t>
  </si>
  <si>
    <t>src/pages/api/chat/users/search.ts, src/components/Chat/NewConversationModal.tsx</t>
  </si>
  <si>
    <t>Deterministic DM creation, self-chat prevention, block enforcement, and org channel creation.</t>
  </si>
  <si>
    <t>src/pages/api/chat/conversations/index.ts, src/types/chat.ts, firestore.rules</t>
  </si>
  <si>
    <t>Display of last message preview, sender details, chronological ordering, and unread badges.</t>
  </si>
  <si>
    <t>src/components/Chat/ConversationSidebar.tsx, src/components/Chat/ConversationRow.tsx, src/hooks/chat/useConversations.ts</t>
  </si>
  <si>
    <t>Text message validation, multiline preservation, Unicode/diacritics, and length boundary enforcement.</t>
  </si>
  <si>
    <t>src/pages/api/chat/conversations/[cid]/messages/index.ts, src/components/Chat/MessageBubble.tsx</t>
  </si>
  <si>
    <t>Keyboard shortcuts, clientMessageId deduplication, and rate limiting.</t>
  </si>
  <si>
    <t>src/components/Chat/MessageComposer.tsx, src/pages/api/chat/conversations/[cid]/messages/index.ts</t>
  </si>
  <si>
    <t>Real-time snapshot synchronization between sender and recipient without page reload.</t>
  </si>
  <si>
    <t>src/hooks/chat/useMessages.ts, src/components/Chat/MessageList.tsx</t>
  </si>
  <si>
    <t>Handling concurrent messages from multiple participants and maintaining strict order.</t>
  </si>
  <si>
    <t>src/pages/api/chat/conversations/[cid]/messages/index.ts, src/hooks/chat/useMessages.ts</t>
  </si>
  <si>
    <t>Cursor-based pagination loading earlier message batches in chronological order.</t>
  </si>
  <si>
    <t>Read pointers tracking in conversation and userConversationMeta records.</t>
  </si>
  <si>
    <t>src/pages/api/chat/conversations/[cid]/read.ts, src/hooks/chat/useMessages.ts, src/hooks/chat/useConversations.ts</t>
  </si>
  <si>
    <t>Ephemeral typing document with 4-second expiration and client heartbeat.</t>
  </si>
  <si>
    <t>src/pages/api/chat/conversations/[cid]/typing.ts, src/hooks/chat/useTyping.ts, src/components/Chat/TypingIndicator.tsx</t>
  </si>
  <si>
    <t>Atomic emoji reaction toggling per message.</t>
  </si>
  <si>
    <t>src/pages/api/chat/conversations/[cid]/messages/[mid]/reactions.ts, src/components/Chat/ReactionBar.tsx</t>
  </si>
  <si>
    <t>Pinning and unpinning messages with participant/staff role enforcement.</t>
  </si>
  <si>
    <t>src/pages/api/chat/conversations/[cid]/messages/[mid]/pin.ts, src/components/Chat/MessageActions.tsx</t>
  </si>
  <si>
    <t>Editing own message within 24h window, and soft-deletion by author or staff.</t>
  </si>
  <si>
    <t>src/pages/api/chat/conversations/[cid]/messages/[mid]/index.ts, src/components/Chat/MessageActions.tsx</t>
  </si>
  <si>
    <t>Base64 media upload with magic-byte verification, size limits, and authorized proxy streaming.</t>
  </si>
  <si>
    <t>src/pages/api/chat/upload.ts, src/pages/api/chat/attachment.ts, src/hooks/chat/useAuthorizedChatMedia.ts, src/components/Chat/VoiceRecorder.tsx</t>
  </si>
  <si>
    <t>Participant authorization, Firestore rules enforcement, user blocking, and message reporting.</t>
  </si>
  <si>
    <t>firestore.rules, src/pages/api/chat/users/block.ts, src/pages/api/chat/messages/[mid]/report.ts, src/utils/authMiddleware.ts</t>
  </si>
  <si>
    <t>[DEF-CHAT-002] Firestore security rules allow message injection by non-participants</t>
  </si>
  <si>
    <t>Defect ID</t>
  </si>
  <si>
    <t>Feature</t>
  </si>
  <si>
    <t>Defect Title</t>
  </si>
  <si>
    <t>Severity</t>
  </si>
  <si>
    <t>Component / Source</t>
  </si>
  <si>
    <t>Steps to Reproduce</t>
  </si>
  <si>
    <t>Expected Behavior</t>
  </si>
  <si>
    <t>Actual Behavior</t>
  </si>
  <si>
    <t>Evidence / Payload Snippet</t>
  </si>
  <si>
    <t>DEF-CHAT-001</t>
  </si>
  <si>
    <t>Reactions &amp; Emoji Interactions</t>
  </si>
  <si>
    <t>Missing participant authorization on message reactions endpoint</t>
  </si>
  <si>
    <t>High</t>
  </si>
  <si>
    <t>src/pages/api/chat/conversations/[cid]/messages/[mid]/reactions.ts:line 30</t>
  </si>
  <si>
    <t xml:space="preserve">1. Obtain token for outsider user not in conversation.
2. POST to /api/chat/conversations/{cid}/messages/{mid}/reactions with emoji.</t>
  </si>
  <si>
    <t>API must return 403 Forbidden when user is not a member/participant in the target conversation.</t>
  </si>
  <si>
    <t>API returned 200 OK and attached outsider reaction without verifying conversation membership.</t>
  </si>
  <si>
    <t>{"success":true,"reactions":{"🔥":["qa_user_a__87crp"],"👀":["qa_user_c__87crp"]}}</t>
  </si>
  <si>
    <t>DEF-CHAT-002</t>
  </si>
  <si>
    <t>Firestore security rules allow message injection by non-participants</t>
  </si>
  <si>
    <t>firestore.rules:line 330</t>
  </si>
  <si>
    <t xml:space="preserve">1. Authenticate as User C using client SDK.
2. Attempt setDoc into /conversations/{directConvId}/messages/{mid} with senderId=UserC.uid.</t>
  </si>
  <si>
    <t>Rules must require isConversationParticipant(get(/databases/$(database)/documents/conversations/$(cid)).data) on message create.</t>
  </si>
  <si>
    <t>Rules only verified request.resource.data.senderId == request.auth.uid, allowing non-participants to create messages directly via client SDK.</t>
  </si>
  <si>
    <t>Write operation succeeded without permission-denied error</t>
  </si>
  <si>
    <t>Run ID</t>
  </si>
  <si>
    <t>Attempt #</t>
  </si>
  <si>
    <t>Timestamp</t>
  </si>
  <si>
    <t>Error Message</t>
  </si>
  <si>
    <t>2026-09-25T02:56:58.204Z</t>
  </si>
  <si>
    <t>2026-09-25T02:57:00.255Z</t>
  </si>
  <si>
    <t>2026-09-25T02:57:02.202Z</t>
  </si>
  <si>
    <t>2026-09-25T02:57:03.824Z</t>
  </si>
  <si>
    <t>2026-09-25T02:57:05.612Z</t>
  </si>
  <si>
    <t>2026-09-25T02:57:07.354Z</t>
  </si>
  <si>
    <t>2026-09-25T02:57:09.739Z</t>
  </si>
  <si>
    <t>2026-09-25T02:57:11.964Z</t>
  </si>
  <si>
    <t>2026-09-25T02:57:13.358Z</t>
  </si>
  <si>
    <t>2026-09-25T02:57:15.311Z</t>
  </si>
  <si>
    <t>2026-09-25T02:57:18.639Z</t>
  </si>
  <si>
    <t>2026-09-25T02:57:20.570Z</t>
  </si>
  <si>
    <t>2026-09-25T02:57:22.512Z</t>
  </si>
  <si>
    <t>2026-09-25T02:57:25.046Z</t>
  </si>
  <si>
    <t>2026-09-25T02:57:27.575Z</t>
  </si>
  <si>
    <t>2026-09-25T02:57:29.816Z</t>
  </si>
  <si>
    <t>2026-09-25T02:57:33.770Z</t>
  </si>
  <si>
    <t>2026-09-25T02:57:37.664Z</t>
  </si>
  <si>
    <t>2026-09-25T02:57:40.129Z</t>
  </si>
  <si>
    <t>2026-09-25T02:57:44.028Z</t>
  </si>
  <si>
    <t>2026-09-25T02:57:47.960Z</t>
  </si>
  <si>
    <t>2026-09-25T02:57:51.108Z</t>
  </si>
  <si>
    <t>2026-09-25T02:57:55.005Z</t>
  </si>
  <si>
    <t>2026-09-25T02:57:57.741Z</t>
  </si>
  <si>
    <t>2026-09-25T02:58:00.275Z</t>
  </si>
  <si>
    <t>2026-09-25T02:58:04.582Z</t>
  </si>
  <si>
    <t>2026-09-25T02:58:06.559Z</t>
  </si>
  <si>
    <t>2026-09-25T02:58:10.352Z</t>
  </si>
  <si>
    <t>2026-09-25T02:58:12.001Z</t>
  </si>
  <si>
    <t>2026-09-25T02:58:15.837Z</t>
  </si>
  <si>
    <t>2026-09-25T02:58:17.713Z</t>
  </si>
  <si>
    <t>2026-09-25T02:58:19.418Z</t>
  </si>
  <si>
    <t>2026-09-25T02:58:21.343Z</t>
  </si>
  <si>
    <t>2026-09-25T02:58:25.371Z</t>
  </si>
  <si>
    <t>2026-09-25T02:58:27.593Z</t>
  </si>
  <si>
    <t>2026-09-25T02:58:34.633Z</t>
  </si>
  <si>
    <t>2026-09-25T02:58:36.953Z</t>
  </si>
  <si>
    <t>2026-09-25T02:58:38.832Z</t>
  </si>
  <si>
    <t>2026-09-25T02:58:41.125Z</t>
  </si>
  <si>
    <t>2026-09-25T02:58:45.198Z</t>
  </si>
  <si>
    <t>2026-09-25T02:58:51.327Z</t>
  </si>
  <si>
    <t>2026-09-25T02:58:53.225Z</t>
  </si>
  <si>
    <t>2026-09-25T02:59:00.781Z</t>
  </si>
  <si>
    <t>2026-09-25T02:59:02.652Z</t>
  </si>
  <si>
    <t>2026-09-25T02:59:04.439Z</t>
  </si>
  <si>
    <t>2026-09-25T02:59:06.274Z</t>
  </si>
  <si>
    <t>2026-09-25T02:59:07.909Z</t>
  </si>
  <si>
    <t>2026-09-25T02:59:07.999Z</t>
  </si>
  <si>
    <t>2026-09-25T02:59:09.642Z</t>
  </si>
  <si>
    <t>2026-09-25T02:59:14.000Z</t>
  </si>
  <si>
    <t>2026-09-25T02:59:16.022Z</t>
  </si>
  <si>
    <t>2026-09-25T02:59:17.348Z</t>
  </si>
  <si>
    <t>2026-09-25T02:59:18.986Z</t>
  </si>
  <si>
    <t>2026-09-25T02:59:19.875Z</t>
  </si>
  <si>
    <t>2026-09-25T02:59:21.906Z</t>
  </si>
  <si>
    <t>2026-09-25T02:59:21.910Z</t>
  </si>
  <si>
    <t>2026-09-25T02:59:23.163Z</t>
  </si>
  <si>
    <t>2026-09-25T02:59:23.479Z</t>
  </si>
  <si>
    <t>2026-09-25T02:59:24.106Z</t>
  </si>
  <si>
    <t>2026-09-25T02:59:24.404Z</t>
  </si>
  <si>
    <t>2026-09-25T02:59:39.717Z</t>
  </si>
  <si>
    <t>2026-09-25T02:59:40.159Z</t>
  </si>
  <si>
    <t>2026-09-25T02:59:42.991Z</t>
  </si>
  <si>
    <t>2026-09-25T02:59:45.551Z</t>
  </si>
  <si>
    <t>2026-09-25T03:00:00.590Z</t>
  </si>
  <si>
    <t>2026-09-25T03:00:12.017Z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</si>
</sst>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3" x14ac:knownFonts="1">
    <font>
      <color theme="1"/>
      <family val="2"/>
      <scheme val="minor"/>
      <sz val="11"/>
      <name val="Calibri"/>
    </font>
    <font>
      <b/>
      <color rgb="FF0F172A"/>
      <sz val="16"/>
      <name val="Arial"/>
    </font>
    <font>
      <i/>
      <color rgb="FF64748B"/>
      <sz val="10"/>
      <name val="Arial"/>
    </font>
    <font>
      <b/>
      <color rgb="FF1E293B"/>
      <sz val="11"/>
      <name val="Arial"/>
    </font>
    <font>
      <b/>
      <color rgb="FF475569"/>
      <sz val="9"/>
      <name val="Arial"/>
    </font>
    <font>
      <color rgb="FF0F172A"/>
      <sz val="9"/>
      <name val="Arial"/>
    </font>
    <font>
      <b/>
      <sz val="10"/>
      <name val="Arial"/>
    </font>
    <font>
      <b/>
      <color rgb="FF166534"/>
      <sz val="10"/>
      <name val="Arial"/>
    </font>
    <font>
      <b/>
      <color rgb="FF991B1B"/>
      <sz val="10"/>
      <name val="Arial"/>
    </font>
    <font>
      <b/>
      <color rgb="FFB45309"/>
      <sz val="10"/>
      <name val="Arial"/>
    </font>
    <font>
      <b/>
      <color rgb="FF475569"/>
      <sz val="10"/>
      <name val="Arial"/>
    </font>
    <font>
      <b/>
      <color rgb="FF0F172A"/>
      <sz val="10"/>
      <name val="Arial"/>
    </font>
    <font>
      <b/>
      <color rgb="FFFFFFFF"/>
      <sz val="10"/>
      <name val="Arial"/>
    </font>
    <font>
      <b/>
      <sz val="9"/>
      <name val="Arial"/>
    </font>
    <font>
      <sz val="9"/>
      <name val="Arial"/>
    </font>
    <font>
      <color rgb="FF166534"/>
      <sz val="9"/>
      <name val="Arial"/>
    </font>
    <font>
      <color rgb="FF991B1B"/>
      <sz val="9"/>
      <name val="Arial"/>
    </font>
    <font>
      <b/>
      <color rgb="FF991B1B"/>
      <sz val="9"/>
      <name val="Arial"/>
    </font>
    <font>
      <color rgb="FF475569"/>
      <sz val="9"/>
      <name val="Arial"/>
    </font>
    <font>
      <b/>
      <color rgb="FF166534"/>
      <sz val="9"/>
      <name val="Arial"/>
    </font>
    <font>
      <b/>
      <color rgb="FF721C24"/>
      <sz val="9"/>
      <name val="Arial"/>
    </font>
    <font>
      <b/>
      <color rgb="FF155724"/>
      <sz val="9"/>
      <name val="Arial"/>
    </font>
    <font>
      <b/>
      <color rgb="FF856404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D7DA"/>
      </patternFill>
    </fill>
    <fill>
      <patternFill patternType="solid">
        <fgColor rgb="FFD4ED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11" fillId="0" borderId="0" xfId="0" applyNumberFormat="1" applyFont="1"/>
    <xf numFmtId="0" fontId="12" fillId="2" borderId="0" xfId="0" applyFont="1" applyFill="1" applyAlignment="1">
      <alignment horizontal="center" vertical="center"/>
    </xf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8" fillId="0" borderId="1" xfId="0" applyFont="1" applyBorder="1"/>
    <xf numFmtId="0" fontId="19" fillId="0" borderId="1" xfId="0" applyFont="1" applyBorder="1"/>
    <xf numFmtId="0" fontId="14" fillId="0" borderId="0" xfId="0" applyFont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20" fillId="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vertical="top" wrapText="1"/>
    </xf>
    <xf numFmtId="0" fontId="22" fillId="5" borderId="1" xfId="0" applyFont="1" applyFill="1" applyBorder="1" applyAlignment="1">
      <alignment horizontal="center" vertical="center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3" width="34" customWidth="1"/>
    <col min="4" max="7" width="14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2" t="s">
        <v>1</v>
      </c>
      <c r="C3" s="2"/>
      <c r="D3" s="2"/>
      <c r="E3" s="2"/>
      <c r="F3" s="2"/>
      <c r="G3" s="2"/>
    </row>
    <row r="5" spans="2:2" x14ac:dyDescent="0.25">
      <c r="B5" s="3" t="s">
        <v>2</v>
      </c>
    </row>
    <row r="6" spans="2:3" x14ac:dyDescent="0.25">
      <c r="B6" s="4" t="s">
        <v>3</v>
      </c>
      <c r="C6" s="5" t="s">
        <v>4</v>
      </c>
    </row>
    <row r="7" spans="2:3" x14ac:dyDescent="0.25">
      <c r="B7" s="4" t="s">
        <v>5</v>
      </c>
      <c r="C7" s="5" t="s">
        <v>6</v>
      </c>
    </row>
    <row r="8" spans="2:3" x14ac:dyDescent="0.25">
      <c r="B8" s="4" t="s">
        <v>7</v>
      </c>
      <c r="C8" s="5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4" t="s">
        <v>11</v>
      </c>
      <c r="C10" s="5" t="s">
        <v>12</v>
      </c>
    </row>
    <row r="11" spans="2:3" x14ac:dyDescent="0.25">
      <c r="B11" s="4" t="s">
        <v>13</v>
      </c>
      <c r="C11" s="5" t="s">
        <v>14</v>
      </c>
    </row>
    <row r="12" spans="2:3" x14ac:dyDescent="0.25">
      <c r="B12" s="4" t="s">
        <v>15</v>
      </c>
      <c r="C12" s="5" t="s">
        <v>16</v>
      </c>
    </row>
    <row r="14" spans="2:2" x14ac:dyDescent="0.25">
      <c r="B14" s="3" t="s">
        <v>17</v>
      </c>
    </row>
    <row r="15" spans="2:3" x14ac:dyDescent="0.25">
      <c r="B15" t="s">
        <v>18</v>
      </c>
      <c r="C15" s="6">
        <f>COUNTA(Results!A2:A68)</f>
      </c>
    </row>
    <row r="16" spans="2:3" x14ac:dyDescent="0.25">
      <c r="B16" t="s">
        <v>19</v>
      </c>
      <c r="C16" s="7">
        <f>COUNTIF(Results!G2:G68, "PASS")</f>
      </c>
    </row>
    <row r="17" spans="2:3" x14ac:dyDescent="0.25">
      <c r="B17" t="s">
        <v>20</v>
      </c>
      <c r="C17" s="8">
        <f>COUNTIF(Results!G2:G68, "FAIL")</f>
      </c>
    </row>
    <row r="18" spans="2:3" x14ac:dyDescent="0.25">
      <c r="B18" t="s">
        <v>21</v>
      </c>
      <c r="C18" s="9">
        <f>COUNTIF(Results!G2:G68, "BLOCKED")</f>
      </c>
    </row>
    <row r="19" spans="2:3" x14ac:dyDescent="0.25">
      <c r="B19" t="s">
        <v>22</v>
      </c>
      <c r="C19" s="10">
        <f>COUNTIF(Results!G2:G68, "SKIPPED")</f>
      </c>
    </row>
    <row r="20" spans="2:3" x14ac:dyDescent="0.25">
      <c r="B20" t="s">
        <v>23</v>
      </c>
      <c r="C20" s="11">
        <f>C16/C15</f>
      </c>
    </row>
    <row r="23" spans="2:2" x14ac:dyDescent="0.25">
      <c r="B23" s="3" t="s">
        <v>24</v>
      </c>
    </row>
    <row r="24" spans="2:7" x14ac:dyDescent="0.25">
      <c r="B24" s="12" t="s">
        <v>25</v>
      </c>
      <c r="C24" s="12" t="s">
        <v>26</v>
      </c>
      <c r="D24" s="12" t="s">
        <v>27</v>
      </c>
      <c r="E24" s="12" t="s">
        <v>19</v>
      </c>
      <c r="F24" s="12" t="s">
        <v>20</v>
      </c>
      <c r="G24" s="12" t="s">
        <v>28</v>
      </c>
    </row>
    <row r="25" spans="2:7" x14ac:dyDescent="0.25">
      <c r="B25" s="13" t="s">
        <v>29</v>
      </c>
      <c r="C25" s="14" t="s">
        <v>30</v>
      </c>
      <c r="D25" s="14">
        <v>5</v>
      </c>
      <c r="E25" s="15">
        <v>3</v>
      </c>
      <c r="F25" s="16">
        <v>2</v>
      </c>
      <c r="G25" s="17" t="s">
        <v>31</v>
      </c>
    </row>
    <row r="26" spans="2:7" x14ac:dyDescent="0.25">
      <c r="B26" s="13" t="s">
        <v>32</v>
      </c>
      <c r="C26" s="14" t="s">
        <v>33</v>
      </c>
      <c r="D26" s="14">
        <v>5</v>
      </c>
      <c r="E26" s="15">
        <v>5</v>
      </c>
      <c r="F26" s="18">
        <v>0</v>
      </c>
      <c r="G26" s="19" t="s">
        <v>34</v>
      </c>
    </row>
    <row r="27" spans="2:7" x14ac:dyDescent="0.25">
      <c r="B27" s="13" t="s">
        <v>35</v>
      </c>
      <c r="C27" s="14" t="s">
        <v>36</v>
      </c>
      <c r="D27" s="14">
        <v>7</v>
      </c>
      <c r="E27" s="15">
        <v>7</v>
      </c>
      <c r="F27" s="18">
        <v>0</v>
      </c>
      <c r="G27" s="19" t="s">
        <v>34</v>
      </c>
    </row>
    <row r="28" spans="2:7" x14ac:dyDescent="0.25">
      <c r="B28" s="13" t="s">
        <v>37</v>
      </c>
      <c r="C28" s="14" t="s">
        <v>38</v>
      </c>
      <c r="D28" s="14">
        <v>3</v>
      </c>
      <c r="E28" s="15">
        <v>3</v>
      </c>
      <c r="F28" s="18">
        <v>0</v>
      </c>
      <c r="G28" s="19" t="s">
        <v>34</v>
      </c>
    </row>
    <row r="29" spans="2:7" x14ac:dyDescent="0.25">
      <c r="B29" s="13" t="s">
        <v>39</v>
      </c>
      <c r="C29" s="14" t="s">
        <v>40</v>
      </c>
      <c r="D29" s="14">
        <v>7</v>
      </c>
      <c r="E29" s="15">
        <v>7</v>
      </c>
      <c r="F29" s="18">
        <v>0</v>
      </c>
      <c r="G29" s="19" t="s">
        <v>34</v>
      </c>
    </row>
    <row r="30" spans="2:7" x14ac:dyDescent="0.25">
      <c r="B30" s="13" t="s">
        <v>41</v>
      </c>
      <c r="C30" s="14" t="s">
        <v>42</v>
      </c>
      <c r="D30" s="14">
        <v>3</v>
      </c>
      <c r="E30" s="15">
        <v>3</v>
      </c>
      <c r="F30" s="18">
        <v>0</v>
      </c>
      <c r="G30" s="19" t="s">
        <v>34</v>
      </c>
    </row>
    <row r="31" spans="2:7" x14ac:dyDescent="0.25">
      <c r="B31" s="13" t="s">
        <v>43</v>
      </c>
      <c r="C31" s="14" t="s">
        <v>44</v>
      </c>
      <c r="D31" s="14">
        <v>1</v>
      </c>
      <c r="E31" s="15">
        <v>1</v>
      </c>
      <c r="F31" s="18">
        <v>0</v>
      </c>
      <c r="G31" s="19" t="s">
        <v>34</v>
      </c>
    </row>
    <row r="32" spans="2:7" x14ac:dyDescent="0.25">
      <c r="B32" s="13" t="s">
        <v>45</v>
      </c>
      <c r="C32" s="14" t="s">
        <v>46</v>
      </c>
      <c r="D32" s="14">
        <v>1</v>
      </c>
      <c r="E32" s="15">
        <v>1</v>
      </c>
      <c r="F32" s="18">
        <v>0</v>
      </c>
      <c r="G32" s="19" t="s">
        <v>34</v>
      </c>
    </row>
    <row r="33" spans="2:7" x14ac:dyDescent="0.25">
      <c r="B33" s="13" t="s">
        <v>47</v>
      </c>
      <c r="C33" s="14" t="s">
        <v>48</v>
      </c>
      <c r="D33" s="14">
        <v>2</v>
      </c>
      <c r="E33" s="15">
        <v>2</v>
      </c>
      <c r="F33" s="18">
        <v>0</v>
      </c>
      <c r="G33" s="19" t="s">
        <v>34</v>
      </c>
    </row>
    <row r="34" spans="2:7" x14ac:dyDescent="0.25">
      <c r="B34" s="13" t="s">
        <v>49</v>
      </c>
      <c r="C34" s="14" t="s">
        <v>50</v>
      </c>
      <c r="D34" s="14">
        <v>2</v>
      </c>
      <c r="E34" s="15">
        <v>2</v>
      </c>
      <c r="F34" s="18">
        <v>0</v>
      </c>
      <c r="G34" s="19" t="s">
        <v>34</v>
      </c>
    </row>
    <row r="35" spans="2:7" x14ac:dyDescent="0.25">
      <c r="B35" s="13" t="s">
        <v>51</v>
      </c>
      <c r="C35" s="14" t="s">
        <v>52</v>
      </c>
      <c r="D35" s="14">
        <v>3</v>
      </c>
      <c r="E35" s="15">
        <v>3</v>
      </c>
      <c r="F35" s="18">
        <v>0</v>
      </c>
      <c r="G35" s="19" t="s">
        <v>34</v>
      </c>
    </row>
    <row r="36" spans="2:7" x14ac:dyDescent="0.25">
      <c r="B36" s="13" t="s">
        <v>53</v>
      </c>
      <c r="C36" s="14" t="s">
        <v>54</v>
      </c>
      <c r="D36" s="14">
        <v>2</v>
      </c>
      <c r="E36" s="15">
        <v>2</v>
      </c>
      <c r="F36" s="18">
        <v>0</v>
      </c>
      <c r="G36" s="19" t="s">
        <v>34</v>
      </c>
    </row>
    <row r="37" spans="2:7" x14ac:dyDescent="0.25">
      <c r="B37" s="13" t="s">
        <v>55</v>
      </c>
      <c r="C37" s="14" t="s">
        <v>56</v>
      </c>
      <c r="D37" s="14">
        <v>2</v>
      </c>
      <c r="E37" s="15">
        <v>2</v>
      </c>
      <c r="F37" s="18">
        <v>0</v>
      </c>
      <c r="G37" s="19" t="s">
        <v>34</v>
      </c>
    </row>
    <row r="38" spans="2:7" x14ac:dyDescent="0.25">
      <c r="B38" s="13" t="s">
        <v>57</v>
      </c>
      <c r="C38" s="14" t="s">
        <v>58</v>
      </c>
      <c r="D38" s="14">
        <v>7</v>
      </c>
      <c r="E38" s="15">
        <v>7</v>
      </c>
      <c r="F38" s="18">
        <v>0</v>
      </c>
      <c r="G38" s="19" t="s">
        <v>34</v>
      </c>
    </row>
    <row r="39" spans="2:7" x14ac:dyDescent="0.25">
      <c r="B39" s="13" t="s">
        <v>59</v>
      </c>
      <c r="C39" s="14" t="s">
        <v>60</v>
      </c>
      <c r="D39" s="14">
        <v>9</v>
      </c>
      <c r="E39" s="15">
        <v>8</v>
      </c>
      <c r="F39" s="16">
        <v>1</v>
      </c>
      <c r="G39" s="17" t="s">
        <v>31</v>
      </c>
    </row>
    <row r="40" spans="2:7" x14ac:dyDescent="0.25">
      <c r="B40" s="13" t="s">
        <v>61</v>
      </c>
      <c r="C40" s="14" t="s">
        <v>62</v>
      </c>
      <c r="D40" s="14">
        <v>8</v>
      </c>
      <c r="E40" s="15">
        <v>7</v>
      </c>
      <c r="F40" s="16">
        <v>1</v>
      </c>
      <c r="G40" s="17" t="s">
        <v>31</v>
      </c>
    </row>
  </sheetData>
  <mergeCells count="2">
    <mergeCell ref="B2:G2"/>
    <mergeCell ref="B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/>
  </sheetViews>
  <sheetFormatPr defaultRowHeight="15" outlineLevelRow="0" outlineLevelCol="0" x14ac:dyDescent="55"/>
  <cols>
    <col min="1" max="1" width="16" customWidth="1"/>
    <col min="2" max="2" width="14" customWidth="1"/>
    <col min="3" max="3" width="26" customWidth="1"/>
    <col min="4" max="4" width="10" customWidth="1"/>
    <col min="5" max="5" width="12" customWidth="1"/>
    <col min="6" max="6" width="36" customWidth="1"/>
    <col min="7" max="7" width="12" customWidth="1"/>
    <col min="8" max="8" width="14" customWidth="1"/>
    <col min="9" max="9" width="40" customWidth="1"/>
    <col min="10" max="10" width="50" customWidth="1"/>
  </cols>
  <sheetData>
    <row r="1" ht="24" customHeight="1" spans="1:10" x14ac:dyDescent="0.25">
      <c r="A1" s="12" t="s">
        <v>63</v>
      </c>
      <c r="B1" s="12" t="s">
        <v>25</v>
      </c>
      <c r="C1" s="12" t="s">
        <v>26</v>
      </c>
      <c r="D1" s="12" t="s">
        <v>64</v>
      </c>
      <c r="E1" s="12" t="s">
        <v>65</v>
      </c>
      <c r="F1" s="12" t="s">
        <v>66</v>
      </c>
      <c r="G1" s="12" t="s">
        <v>28</v>
      </c>
      <c r="H1" s="12" t="s">
        <v>67</v>
      </c>
      <c r="I1" s="12" t="s">
        <v>68</v>
      </c>
      <c r="J1" s="12" t="s">
        <v>69</v>
      </c>
    </row>
    <row r="2" spans="1:10" s="20" customFormat="1" x14ac:dyDescent="0.25">
      <c r="A2" s="21" t="s">
        <v>70</v>
      </c>
      <c r="B2" s="21" t="s">
        <v>29</v>
      </c>
      <c r="C2" s="21" t="s">
        <v>30</v>
      </c>
      <c r="D2" s="21" t="s">
        <v>71</v>
      </c>
      <c r="E2" s="21" t="s">
        <v>72</v>
      </c>
      <c r="F2" s="21" t="s">
        <v>73</v>
      </c>
      <c r="G2" s="22" t="s">
        <v>74</v>
      </c>
      <c r="H2" s="21">
        <v>15107</v>
      </c>
      <c r="I2" s="21" t="s">
        <v>75</v>
      </c>
      <c r="J2" s="21" t="s">
        <v>76</v>
      </c>
    </row>
    <row r="3" spans="1:10" s="20" customFormat="1" x14ac:dyDescent="0.25">
      <c r="A3" s="21" t="s">
        <v>77</v>
      </c>
      <c r="B3" s="21" t="s">
        <v>29</v>
      </c>
      <c r="C3" s="21" t="s">
        <v>30</v>
      </c>
      <c r="D3" s="21" t="s">
        <v>71</v>
      </c>
      <c r="E3" s="21" t="s">
        <v>72</v>
      </c>
      <c r="F3" s="21" t="s">
        <v>78</v>
      </c>
      <c r="G3" s="23" t="s">
        <v>79</v>
      </c>
      <c r="H3" s="21">
        <v>442</v>
      </c>
      <c r="I3" s="21" t="s">
        <v>80</v>
      </c>
      <c r="J3" s="21" t="s">
        <v>81</v>
      </c>
    </row>
    <row r="4" spans="1:10" s="20" customFormat="1" x14ac:dyDescent="0.25">
      <c r="A4" s="21" t="s">
        <v>82</v>
      </c>
      <c r="B4" s="21" t="s">
        <v>29</v>
      </c>
      <c r="C4" s="21" t="s">
        <v>30</v>
      </c>
      <c r="D4" s="21" t="s">
        <v>83</v>
      </c>
      <c r="E4" s="21" t="s">
        <v>72</v>
      </c>
      <c r="F4" s="21" t="s">
        <v>84</v>
      </c>
      <c r="G4" s="23" t="s">
        <v>79</v>
      </c>
      <c r="H4" s="21">
        <v>2560</v>
      </c>
      <c r="I4" s="21" t="s">
        <v>80</v>
      </c>
      <c r="J4" s="21" t="s">
        <v>85</v>
      </c>
    </row>
    <row r="5" spans="1:10" s="20" customFormat="1" x14ac:dyDescent="0.25">
      <c r="A5" s="21" t="s">
        <v>86</v>
      </c>
      <c r="B5" s="21" t="s">
        <v>29</v>
      </c>
      <c r="C5" s="21" t="s">
        <v>30</v>
      </c>
      <c r="D5" s="21" t="s">
        <v>87</v>
      </c>
      <c r="E5" s="21" t="s">
        <v>72</v>
      </c>
      <c r="F5" s="21" t="s">
        <v>88</v>
      </c>
      <c r="G5" s="22" t="s">
        <v>74</v>
      </c>
      <c r="H5" s="21">
        <v>15039</v>
      </c>
      <c r="I5" s="21" t="s">
        <v>89</v>
      </c>
      <c r="J5" s="21" t="s">
        <v>90</v>
      </c>
    </row>
    <row r="6" spans="1:10" s="20" customFormat="1" x14ac:dyDescent="0.25">
      <c r="A6" s="21" t="s">
        <v>91</v>
      </c>
      <c r="B6" s="21" t="s">
        <v>29</v>
      </c>
      <c r="C6" s="21" t="s">
        <v>30</v>
      </c>
      <c r="D6" s="21" t="s">
        <v>87</v>
      </c>
      <c r="E6" s="21" t="s">
        <v>72</v>
      </c>
      <c r="F6" s="21" t="s">
        <v>92</v>
      </c>
      <c r="G6" s="23" t="s">
        <v>79</v>
      </c>
      <c r="H6" s="21">
        <v>2831</v>
      </c>
      <c r="I6" s="21" t="s">
        <v>80</v>
      </c>
      <c r="J6" s="21" t="s">
        <v>93</v>
      </c>
    </row>
    <row r="7" spans="1:10" s="20" customFormat="1" x14ac:dyDescent="0.25">
      <c r="A7" s="21" t="s">
        <v>94</v>
      </c>
      <c r="B7" s="21" t="s">
        <v>32</v>
      </c>
      <c r="C7" s="21" t="s">
        <v>33</v>
      </c>
      <c r="D7" s="21" t="s">
        <v>83</v>
      </c>
      <c r="E7" s="21" t="s">
        <v>95</v>
      </c>
      <c r="F7" s="21" t="s">
        <v>96</v>
      </c>
      <c r="G7" s="23" t="s">
        <v>79</v>
      </c>
      <c r="H7" s="21">
        <v>2050</v>
      </c>
      <c r="I7" s="21" t="s">
        <v>80</v>
      </c>
      <c r="J7" s="21" t="s">
        <v>97</v>
      </c>
    </row>
    <row r="8" spans="1:10" s="20" customFormat="1" x14ac:dyDescent="0.25">
      <c r="A8" s="21" t="s">
        <v>98</v>
      </c>
      <c r="B8" s="21" t="s">
        <v>32</v>
      </c>
      <c r="C8" s="21" t="s">
        <v>33</v>
      </c>
      <c r="D8" s="21" t="s">
        <v>83</v>
      </c>
      <c r="E8" s="21" t="s">
        <v>95</v>
      </c>
      <c r="F8" s="21" t="s">
        <v>99</v>
      </c>
      <c r="G8" s="23" t="s">
        <v>79</v>
      </c>
      <c r="H8" s="21">
        <v>1947</v>
      </c>
      <c r="I8" s="21" t="s">
        <v>80</v>
      </c>
      <c r="J8" s="21" t="s">
        <v>100</v>
      </c>
    </row>
    <row r="9" spans="1:10" s="20" customFormat="1" x14ac:dyDescent="0.25">
      <c r="A9" s="21" t="s">
        <v>101</v>
      </c>
      <c r="B9" s="21" t="s">
        <v>32</v>
      </c>
      <c r="C9" s="21" t="s">
        <v>33</v>
      </c>
      <c r="D9" s="21" t="s">
        <v>87</v>
      </c>
      <c r="E9" s="21" t="s">
        <v>95</v>
      </c>
      <c r="F9" s="21" t="s">
        <v>102</v>
      </c>
      <c r="G9" s="23" t="s">
        <v>79</v>
      </c>
      <c r="H9" s="21">
        <v>1622</v>
      </c>
      <c r="I9" s="21" t="s">
        <v>80</v>
      </c>
      <c r="J9" s="21" t="s">
        <v>103</v>
      </c>
    </row>
    <row r="10" spans="1:10" s="20" customFormat="1" x14ac:dyDescent="0.25">
      <c r="A10" s="21" t="s">
        <v>104</v>
      </c>
      <c r="B10" s="21" t="s">
        <v>32</v>
      </c>
      <c r="C10" s="21" t="s">
        <v>33</v>
      </c>
      <c r="D10" s="21" t="s">
        <v>87</v>
      </c>
      <c r="E10" s="21" t="s">
        <v>95</v>
      </c>
      <c r="F10" s="21" t="s">
        <v>105</v>
      </c>
      <c r="G10" s="23" t="s">
        <v>79</v>
      </c>
      <c r="H10" s="21">
        <v>1788</v>
      </c>
      <c r="I10" s="21" t="s">
        <v>80</v>
      </c>
      <c r="J10" s="21" t="s">
        <v>106</v>
      </c>
    </row>
    <row r="11" spans="1:10" s="20" customFormat="1" x14ac:dyDescent="0.25">
      <c r="A11" s="21" t="s">
        <v>107</v>
      </c>
      <c r="B11" s="21" t="s">
        <v>32</v>
      </c>
      <c r="C11" s="21" t="s">
        <v>33</v>
      </c>
      <c r="D11" s="21" t="s">
        <v>87</v>
      </c>
      <c r="E11" s="21" t="s">
        <v>95</v>
      </c>
      <c r="F11" s="21" t="s">
        <v>108</v>
      </c>
      <c r="G11" s="23" t="s">
        <v>79</v>
      </c>
      <c r="H11" s="21">
        <v>1742</v>
      </c>
      <c r="I11" s="21" t="s">
        <v>80</v>
      </c>
      <c r="J11" s="21" t="s">
        <v>109</v>
      </c>
    </row>
    <row r="12" spans="1:10" s="20" customFormat="1" x14ac:dyDescent="0.25">
      <c r="A12" s="21" t="s">
        <v>110</v>
      </c>
      <c r="B12" s="21" t="s">
        <v>35</v>
      </c>
      <c r="C12" s="21" t="s">
        <v>36</v>
      </c>
      <c r="D12" s="21" t="s">
        <v>71</v>
      </c>
      <c r="E12" s="21" t="s">
        <v>95</v>
      </c>
      <c r="F12" s="21" t="s">
        <v>111</v>
      </c>
      <c r="G12" s="23" t="s">
        <v>79</v>
      </c>
      <c r="H12" s="21">
        <v>2385</v>
      </c>
      <c r="I12" s="21" t="s">
        <v>80</v>
      </c>
      <c r="J12" s="21" t="s">
        <v>112</v>
      </c>
    </row>
    <row r="13" spans="1:10" s="20" customFormat="1" x14ac:dyDescent="0.25">
      <c r="A13" s="21" t="s">
        <v>113</v>
      </c>
      <c r="B13" s="21" t="s">
        <v>35</v>
      </c>
      <c r="C13" s="21" t="s">
        <v>36</v>
      </c>
      <c r="D13" s="21" t="s">
        <v>83</v>
      </c>
      <c r="E13" s="21" t="s">
        <v>95</v>
      </c>
      <c r="F13" s="21" t="s">
        <v>114</v>
      </c>
      <c r="G13" s="23" t="s">
        <v>79</v>
      </c>
      <c r="H13" s="21">
        <v>2225</v>
      </c>
      <c r="I13" s="21" t="s">
        <v>80</v>
      </c>
      <c r="J13" s="21" t="s">
        <v>115</v>
      </c>
    </row>
    <row r="14" spans="1:10" s="20" customFormat="1" x14ac:dyDescent="0.25">
      <c r="A14" s="21" t="s">
        <v>116</v>
      </c>
      <c r="B14" s="21" t="s">
        <v>35</v>
      </c>
      <c r="C14" s="21" t="s">
        <v>36</v>
      </c>
      <c r="D14" s="21" t="s">
        <v>83</v>
      </c>
      <c r="E14" s="21" t="s">
        <v>95</v>
      </c>
      <c r="F14" s="21" t="s">
        <v>117</v>
      </c>
      <c r="G14" s="23" t="s">
        <v>79</v>
      </c>
      <c r="H14" s="21">
        <v>1394</v>
      </c>
      <c r="I14" s="21" t="s">
        <v>80</v>
      </c>
      <c r="J14" s="21" t="s">
        <v>118</v>
      </c>
    </row>
    <row r="15" spans="1:10" s="20" customFormat="1" x14ac:dyDescent="0.25">
      <c r="A15" s="21" t="s">
        <v>119</v>
      </c>
      <c r="B15" s="21" t="s">
        <v>35</v>
      </c>
      <c r="C15" s="21" t="s">
        <v>36</v>
      </c>
      <c r="D15" s="21" t="s">
        <v>83</v>
      </c>
      <c r="E15" s="21" t="s">
        <v>95</v>
      </c>
      <c r="F15" s="21" t="s">
        <v>120</v>
      </c>
      <c r="G15" s="23" t="s">
        <v>79</v>
      </c>
      <c r="H15" s="21">
        <v>1953</v>
      </c>
      <c r="I15" s="21" t="s">
        <v>80</v>
      </c>
      <c r="J15" s="21" t="s">
        <v>121</v>
      </c>
    </row>
    <row r="16" spans="1:10" s="20" customFormat="1" x14ac:dyDescent="0.25">
      <c r="A16" s="21" t="s">
        <v>122</v>
      </c>
      <c r="B16" s="21" t="s">
        <v>35</v>
      </c>
      <c r="C16" s="21" t="s">
        <v>36</v>
      </c>
      <c r="D16" s="21" t="s">
        <v>83</v>
      </c>
      <c r="E16" s="21" t="s">
        <v>95</v>
      </c>
      <c r="F16" s="21" t="s">
        <v>123</v>
      </c>
      <c r="G16" s="23" t="s">
        <v>79</v>
      </c>
      <c r="H16" s="21">
        <v>3328</v>
      </c>
      <c r="I16" s="21" t="s">
        <v>80</v>
      </c>
      <c r="J16" s="21" t="s">
        <v>124</v>
      </c>
    </row>
    <row r="17" spans="1:10" s="20" customFormat="1" x14ac:dyDescent="0.25">
      <c r="A17" s="21" t="s">
        <v>125</v>
      </c>
      <c r="B17" s="21" t="s">
        <v>35</v>
      </c>
      <c r="C17" s="21" t="s">
        <v>36</v>
      </c>
      <c r="D17" s="21" t="s">
        <v>83</v>
      </c>
      <c r="E17" s="21" t="s">
        <v>95</v>
      </c>
      <c r="F17" s="21" t="s">
        <v>126</v>
      </c>
      <c r="G17" s="23" t="s">
        <v>79</v>
      </c>
      <c r="H17" s="21">
        <v>1931</v>
      </c>
      <c r="I17" s="21" t="s">
        <v>80</v>
      </c>
      <c r="J17" s="21" t="s">
        <v>127</v>
      </c>
    </row>
    <row r="18" spans="1:10" s="20" customFormat="1" x14ac:dyDescent="0.25">
      <c r="A18" s="21" t="s">
        <v>128</v>
      </c>
      <c r="B18" s="21" t="s">
        <v>35</v>
      </c>
      <c r="C18" s="21" t="s">
        <v>36</v>
      </c>
      <c r="D18" s="21" t="s">
        <v>87</v>
      </c>
      <c r="E18" s="21" t="s">
        <v>95</v>
      </c>
      <c r="F18" s="21" t="s">
        <v>129</v>
      </c>
      <c r="G18" s="23" t="s">
        <v>79</v>
      </c>
      <c r="H18" s="21">
        <v>1942</v>
      </c>
      <c r="I18" s="21" t="s">
        <v>80</v>
      </c>
      <c r="J18" s="21" t="s">
        <v>130</v>
      </c>
    </row>
    <row r="19" spans="1:10" s="20" customFormat="1" x14ac:dyDescent="0.25">
      <c r="A19" s="21" t="s">
        <v>131</v>
      </c>
      <c r="B19" s="21" t="s">
        <v>37</v>
      </c>
      <c r="C19" s="21" t="s">
        <v>38</v>
      </c>
      <c r="D19" s="21" t="s">
        <v>83</v>
      </c>
      <c r="E19" s="21" t="s">
        <v>95</v>
      </c>
      <c r="F19" s="21" t="s">
        <v>132</v>
      </c>
      <c r="G19" s="23" t="s">
        <v>79</v>
      </c>
      <c r="H19" s="21">
        <v>2534</v>
      </c>
      <c r="I19" s="21" t="s">
        <v>80</v>
      </c>
      <c r="J19" s="21" t="s">
        <v>133</v>
      </c>
    </row>
    <row r="20" spans="1:10" s="20" customFormat="1" x14ac:dyDescent="0.25">
      <c r="A20" s="21" t="s">
        <v>134</v>
      </c>
      <c r="B20" s="21" t="s">
        <v>37</v>
      </c>
      <c r="C20" s="21" t="s">
        <v>38</v>
      </c>
      <c r="D20" s="21" t="s">
        <v>83</v>
      </c>
      <c r="E20" s="21" t="s">
        <v>95</v>
      </c>
      <c r="F20" s="21" t="s">
        <v>135</v>
      </c>
      <c r="G20" s="23" t="s">
        <v>79</v>
      </c>
      <c r="H20" s="21">
        <v>2529</v>
      </c>
      <c r="I20" s="21" t="s">
        <v>80</v>
      </c>
      <c r="J20" s="21" t="s">
        <v>136</v>
      </c>
    </row>
    <row r="21" spans="1:10" s="20" customFormat="1" x14ac:dyDescent="0.25">
      <c r="A21" s="21" t="s">
        <v>137</v>
      </c>
      <c r="B21" s="21" t="s">
        <v>37</v>
      </c>
      <c r="C21" s="21" t="s">
        <v>38</v>
      </c>
      <c r="D21" s="21" t="s">
        <v>83</v>
      </c>
      <c r="E21" s="21" t="s">
        <v>95</v>
      </c>
      <c r="F21" s="21" t="s">
        <v>138</v>
      </c>
      <c r="G21" s="23" t="s">
        <v>79</v>
      </c>
      <c r="H21" s="21">
        <v>2241</v>
      </c>
      <c r="I21" s="21" t="s">
        <v>80</v>
      </c>
      <c r="J21" s="21" t="s">
        <v>139</v>
      </c>
    </row>
    <row r="22" spans="1:10" s="20" customFormat="1" x14ac:dyDescent="0.25">
      <c r="A22" s="21" t="s">
        <v>140</v>
      </c>
      <c r="B22" s="21" t="s">
        <v>39</v>
      </c>
      <c r="C22" s="21" t="s">
        <v>40</v>
      </c>
      <c r="D22" s="21" t="s">
        <v>71</v>
      </c>
      <c r="E22" s="21" t="s">
        <v>95</v>
      </c>
      <c r="F22" s="21" t="s">
        <v>141</v>
      </c>
      <c r="G22" s="23" t="s">
        <v>79</v>
      </c>
      <c r="H22" s="21">
        <v>3954</v>
      </c>
      <c r="I22" s="21" t="s">
        <v>80</v>
      </c>
      <c r="J22" s="21" t="s">
        <v>142</v>
      </c>
    </row>
    <row r="23" spans="1:10" s="20" customFormat="1" x14ac:dyDescent="0.25">
      <c r="A23" s="21" t="s">
        <v>143</v>
      </c>
      <c r="B23" s="21" t="s">
        <v>39</v>
      </c>
      <c r="C23" s="21" t="s">
        <v>40</v>
      </c>
      <c r="D23" s="21" t="s">
        <v>83</v>
      </c>
      <c r="E23" s="21" t="s">
        <v>95</v>
      </c>
      <c r="F23" s="21" t="s">
        <v>144</v>
      </c>
      <c r="G23" s="23" t="s">
        <v>79</v>
      </c>
      <c r="H23" s="21">
        <v>3894</v>
      </c>
      <c r="I23" s="21" t="s">
        <v>80</v>
      </c>
      <c r="J23" s="21" t="s">
        <v>145</v>
      </c>
    </row>
    <row r="24" spans="1:10" s="20" customFormat="1" x14ac:dyDescent="0.25">
      <c r="A24" s="21" t="s">
        <v>146</v>
      </c>
      <c r="B24" s="21" t="s">
        <v>39</v>
      </c>
      <c r="C24" s="21" t="s">
        <v>40</v>
      </c>
      <c r="D24" s="21" t="s">
        <v>83</v>
      </c>
      <c r="E24" s="21" t="s">
        <v>95</v>
      </c>
      <c r="F24" s="21" t="s">
        <v>147</v>
      </c>
      <c r="G24" s="23" t="s">
        <v>79</v>
      </c>
      <c r="H24" s="21">
        <v>2465</v>
      </c>
      <c r="I24" s="21" t="s">
        <v>80</v>
      </c>
      <c r="J24" s="21" t="s">
        <v>148</v>
      </c>
    </row>
    <row r="25" spans="1:10" s="20" customFormat="1" x14ac:dyDescent="0.25">
      <c r="A25" s="21" t="s">
        <v>149</v>
      </c>
      <c r="B25" s="21" t="s">
        <v>39</v>
      </c>
      <c r="C25" s="21" t="s">
        <v>40</v>
      </c>
      <c r="D25" s="21" t="s">
        <v>83</v>
      </c>
      <c r="E25" s="21" t="s">
        <v>95</v>
      </c>
      <c r="F25" s="21" t="s">
        <v>150</v>
      </c>
      <c r="G25" s="23" t="s">
        <v>79</v>
      </c>
      <c r="H25" s="21">
        <v>3899</v>
      </c>
      <c r="I25" s="21" t="s">
        <v>80</v>
      </c>
      <c r="J25" s="21" t="s">
        <v>151</v>
      </c>
    </row>
    <row r="26" spans="1:10" s="20" customFormat="1" x14ac:dyDescent="0.25">
      <c r="A26" s="21" t="s">
        <v>152</v>
      </c>
      <c r="B26" s="21" t="s">
        <v>39</v>
      </c>
      <c r="C26" s="21" t="s">
        <v>40</v>
      </c>
      <c r="D26" s="21" t="s">
        <v>87</v>
      </c>
      <c r="E26" s="21" t="s">
        <v>95</v>
      </c>
      <c r="F26" s="21" t="s">
        <v>153</v>
      </c>
      <c r="G26" s="23" t="s">
        <v>79</v>
      </c>
      <c r="H26" s="21">
        <v>3932</v>
      </c>
      <c r="I26" s="21" t="s">
        <v>80</v>
      </c>
      <c r="J26" s="21" t="s">
        <v>154</v>
      </c>
    </row>
    <row r="27" spans="1:10" s="20" customFormat="1" x14ac:dyDescent="0.25">
      <c r="A27" s="21" t="s">
        <v>155</v>
      </c>
      <c r="B27" s="21" t="s">
        <v>39</v>
      </c>
      <c r="C27" s="21" t="s">
        <v>40</v>
      </c>
      <c r="D27" s="21" t="s">
        <v>87</v>
      </c>
      <c r="E27" s="21" t="s">
        <v>95</v>
      </c>
      <c r="F27" s="21" t="s">
        <v>156</v>
      </c>
      <c r="G27" s="23" t="s">
        <v>79</v>
      </c>
      <c r="H27" s="21">
        <v>3148</v>
      </c>
      <c r="I27" s="21" t="s">
        <v>80</v>
      </c>
      <c r="J27" s="21" t="s">
        <v>157</v>
      </c>
    </row>
    <row r="28" spans="1:10" s="20" customFormat="1" x14ac:dyDescent="0.25">
      <c r="A28" s="21" t="s">
        <v>158</v>
      </c>
      <c r="B28" s="21" t="s">
        <v>39</v>
      </c>
      <c r="C28" s="21" t="s">
        <v>40</v>
      </c>
      <c r="D28" s="21" t="s">
        <v>87</v>
      </c>
      <c r="E28" s="21" t="s">
        <v>159</v>
      </c>
      <c r="F28" s="21" t="s">
        <v>160</v>
      </c>
      <c r="G28" s="23" t="s">
        <v>79</v>
      </c>
      <c r="H28" s="21">
        <v>0</v>
      </c>
      <c r="I28" s="21" t="s">
        <v>80</v>
      </c>
      <c r="J28" s="21" t="s">
        <v>161</v>
      </c>
    </row>
    <row r="29" spans="1:10" s="20" customFormat="1" x14ac:dyDescent="0.25">
      <c r="A29" s="21" t="s">
        <v>162</v>
      </c>
      <c r="B29" s="21" t="s">
        <v>41</v>
      </c>
      <c r="C29" s="21" t="s">
        <v>42</v>
      </c>
      <c r="D29" s="21" t="s">
        <v>83</v>
      </c>
      <c r="E29" s="21" t="s">
        <v>95</v>
      </c>
      <c r="F29" s="21" t="s">
        <v>163</v>
      </c>
      <c r="G29" s="23" t="s">
        <v>79</v>
      </c>
      <c r="H29" s="21">
        <v>3897</v>
      </c>
      <c r="I29" s="21" t="s">
        <v>80</v>
      </c>
      <c r="J29" s="21" t="s">
        <v>164</v>
      </c>
    </row>
    <row r="30" spans="1:10" s="20" customFormat="1" x14ac:dyDescent="0.25">
      <c r="A30" s="21" t="s">
        <v>165</v>
      </c>
      <c r="B30" s="21" t="s">
        <v>41</v>
      </c>
      <c r="C30" s="21" t="s">
        <v>42</v>
      </c>
      <c r="D30" s="21" t="s">
        <v>83</v>
      </c>
      <c r="E30" s="21" t="s">
        <v>95</v>
      </c>
      <c r="F30" s="21" t="s">
        <v>166</v>
      </c>
      <c r="G30" s="23" t="s">
        <v>79</v>
      </c>
      <c r="H30" s="21">
        <v>2735</v>
      </c>
      <c r="I30" s="21" t="s">
        <v>80</v>
      </c>
      <c r="J30" s="21" t="s">
        <v>167</v>
      </c>
    </row>
    <row r="31" spans="1:10" s="20" customFormat="1" x14ac:dyDescent="0.25">
      <c r="A31" s="21" t="s">
        <v>168</v>
      </c>
      <c r="B31" s="21" t="s">
        <v>41</v>
      </c>
      <c r="C31" s="21" t="s">
        <v>42</v>
      </c>
      <c r="D31" s="21" t="s">
        <v>87</v>
      </c>
      <c r="E31" s="21" t="s">
        <v>95</v>
      </c>
      <c r="F31" s="21" t="s">
        <v>169</v>
      </c>
      <c r="G31" s="23" t="s">
        <v>79</v>
      </c>
      <c r="H31" s="21">
        <v>2534</v>
      </c>
      <c r="I31" s="21" t="s">
        <v>80</v>
      </c>
      <c r="J31" s="21" t="s">
        <v>170</v>
      </c>
    </row>
    <row r="32" spans="1:10" s="20" customFormat="1" x14ac:dyDescent="0.25">
      <c r="A32" s="21" t="s">
        <v>171</v>
      </c>
      <c r="B32" s="21" t="s">
        <v>43</v>
      </c>
      <c r="C32" s="21" t="s">
        <v>44</v>
      </c>
      <c r="D32" s="21" t="s">
        <v>71</v>
      </c>
      <c r="E32" s="21" t="s">
        <v>72</v>
      </c>
      <c r="F32" s="21" t="s">
        <v>172</v>
      </c>
      <c r="G32" s="23" t="s">
        <v>79</v>
      </c>
      <c r="H32" s="21">
        <v>4430</v>
      </c>
      <c r="I32" s="21" t="s">
        <v>80</v>
      </c>
      <c r="J32" s="21" t="s">
        <v>173</v>
      </c>
    </row>
    <row r="33" spans="1:10" s="20" customFormat="1" x14ac:dyDescent="0.25">
      <c r="A33" s="21" t="s">
        <v>174</v>
      </c>
      <c r="B33" s="21" t="s">
        <v>45</v>
      </c>
      <c r="C33" s="21" t="s">
        <v>46</v>
      </c>
      <c r="D33" s="21" t="s">
        <v>83</v>
      </c>
      <c r="E33" s="21" t="s">
        <v>95</v>
      </c>
      <c r="F33" s="21" t="s">
        <v>175</v>
      </c>
      <c r="G33" s="23" t="s">
        <v>79</v>
      </c>
      <c r="H33" s="21">
        <v>4001</v>
      </c>
      <c r="I33" s="21" t="s">
        <v>80</v>
      </c>
      <c r="J33" s="21" t="s">
        <v>176</v>
      </c>
    </row>
    <row r="34" spans="1:10" s="20" customFormat="1" x14ac:dyDescent="0.25">
      <c r="A34" s="21" t="s">
        <v>177</v>
      </c>
      <c r="B34" s="21" t="s">
        <v>47</v>
      </c>
      <c r="C34" s="21" t="s">
        <v>48</v>
      </c>
      <c r="D34" s="21" t="s">
        <v>83</v>
      </c>
      <c r="E34" s="21" t="s">
        <v>95</v>
      </c>
      <c r="F34" s="21" t="s">
        <v>178</v>
      </c>
      <c r="G34" s="23" t="s">
        <v>79</v>
      </c>
      <c r="H34" s="21">
        <v>1977</v>
      </c>
      <c r="I34" s="21" t="s">
        <v>80</v>
      </c>
      <c r="J34" s="21" t="s">
        <v>179</v>
      </c>
    </row>
    <row r="35" spans="1:10" s="20" customFormat="1" x14ac:dyDescent="0.25">
      <c r="A35" s="21" t="s">
        <v>180</v>
      </c>
      <c r="B35" s="21" t="s">
        <v>47</v>
      </c>
      <c r="C35" s="21" t="s">
        <v>48</v>
      </c>
      <c r="D35" s="21" t="s">
        <v>83</v>
      </c>
      <c r="E35" s="21" t="s">
        <v>95</v>
      </c>
      <c r="F35" s="21" t="s">
        <v>181</v>
      </c>
      <c r="G35" s="23" t="s">
        <v>79</v>
      </c>
      <c r="H35" s="21">
        <v>3792</v>
      </c>
      <c r="I35" s="21" t="s">
        <v>80</v>
      </c>
      <c r="J35" s="21" t="s">
        <v>182</v>
      </c>
    </row>
    <row r="36" spans="1:10" s="20" customFormat="1" x14ac:dyDescent="0.25">
      <c r="A36" s="21" t="s">
        <v>183</v>
      </c>
      <c r="B36" s="21" t="s">
        <v>49</v>
      </c>
      <c r="C36" s="21" t="s">
        <v>50</v>
      </c>
      <c r="D36" s="21" t="s">
        <v>83</v>
      </c>
      <c r="E36" s="21" t="s">
        <v>95</v>
      </c>
      <c r="F36" s="21" t="s">
        <v>184</v>
      </c>
      <c r="G36" s="23" t="s">
        <v>79</v>
      </c>
      <c r="H36" s="21">
        <v>1649</v>
      </c>
      <c r="I36" s="21" t="s">
        <v>80</v>
      </c>
      <c r="J36" s="21" t="s">
        <v>185</v>
      </c>
    </row>
    <row r="37" spans="1:10" s="20" customFormat="1" x14ac:dyDescent="0.25">
      <c r="A37" s="21" t="s">
        <v>186</v>
      </c>
      <c r="B37" s="21" t="s">
        <v>49</v>
      </c>
      <c r="C37" s="21" t="s">
        <v>50</v>
      </c>
      <c r="D37" s="21" t="s">
        <v>83</v>
      </c>
      <c r="E37" s="21" t="s">
        <v>95</v>
      </c>
      <c r="F37" s="21" t="s">
        <v>187</v>
      </c>
      <c r="G37" s="23" t="s">
        <v>79</v>
      </c>
      <c r="H37" s="21">
        <v>3836</v>
      </c>
      <c r="I37" s="21" t="s">
        <v>80</v>
      </c>
      <c r="J37" s="21" t="s">
        <v>188</v>
      </c>
    </row>
    <row r="38" spans="1:10" s="20" customFormat="1" x14ac:dyDescent="0.25">
      <c r="A38" s="21" t="s">
        <v>189</v>
      </c>
      <c r="B38" s="21" t="s">
        <v>51</v>
      </c>
      <c r="C38" s="21" t="s">
        <v>52</v>
      </c>
      <c r="D38" s="21" t="s">
        <v>87</v>
      </c>
      <c r="E38" s="21" t="s">
        <v>95</v>
      </c>
      <c r="F38" s="21" t="s">
        <v>190</v>
      </c>
      <c r="G38" s="23" t="s">
        <v>79</v>
      </c>
      <c r="H38" s="21">
        <v>1876</v>
      </c>
      <c r="I38" s="21" t="s">
        <v>80</v>
      </c>
      <c r="J38" s="21" t="s">
        <v>191</v>
      </c>
    </row>
    <row r="39" spans="1:10" s="20" customFormat="1" x14ac:dyDescent="0.25">
      <c r="A39" s="21" t="s">
        <v>192</v>
      </c>
      <c r="B39" s="21" t="s">
        <v>51</v>
      </c>
      <c r="C39" s="21" t="s">
        <v>52</v>
      </c>
      <c r="D39" s="21" t="s">
        <v>87</v>
      </c>
      <c r="E39" s="21" t="s">
        <v>95</v>
      </c>
      <c r="F39" s="21" t="s">
        <v>193</v>
      </c>
      <c r="G39" s="23" t="s">
        <v>79</v>
      </c>
      <c r="H39" s="21">
        <v>1705</v>
      </c>
      <c r="I39" s="21" t="s">
        <v>80</v>
      </c>
      <c r="J39" s="21" t="s">
        <v>194</v>
      </c>
    </row>
    <row r="40" spans="1:10" s="20" customFormat="1" x14ac:dyDescent="0.25">
      <c r="A40" s="21" t="s">
        <v>195</v>
      </c>
      <c r="B40" s="21" t="s">
        <v>51</v>
      </c>
      <c r="C40" s="21" t="s">
        <v>52</v>
      </c>
      <c r="D40" s="21" t="s">
        <v>87</v>
      </c>
      <c r="E40" s="21" t="s">
        <v>159</v>
      </c>
      <c r="F40" s="21" t="s">
        <v>196</v>
      </c>
      <c r="G40" s="23" t="s">
        <v>79</v>
      </c>
      <c r="H40" s="21">
        <v>0</v>
      </c>
      <c r="I40" s="21" t="s">
        <v>80</v>
      </c>
      <c r="J40" s="21" t="s">
        <v>197</v>
      </c>
    </row>
    <row r="41" spans="1:10" s="20" customFormat="1" x14ac:dyDescent="0.25">
      <c r="A41" s="21" t="s">
        <v>198</v>
      </c>
      <c r="B41" s="21" t="s">
        <v>53</v>
      </c>
      <c r="C41" s="21" t="s">
        <v>54</v>
      </c>
      <c r="D41" s="21" t="s">
        <v>83</v>
      </c>
      <c r="E41" s="21" t="s">
        <v>95</v>
      </c>
      <c r="F41" s="21" t="s">
        <v>199</v>
      </c>
      <c r="G41" s="23" t="s">
        <v>79</v>
      </c>
      <c r="H41" s="21">
        <v>1925</v>
      </c>
      <c r="I41" s="21" t="s">
        <v>80</v>
      </c>
      <c r="J41" s="21" t="s">
        <v>200</v>
      </c>
    </row>
    <row r="42" spans="1:10" s="20" customFormat="1" x14ac:dyDescent="0.25">
      <c r="A42" s="21" t="s">
        <v>201</v>
      </c>
      <c r="B42" s="21" t="s">
        <v>53</v>
      </c>
      <c r="C42" s="21" t="s">
        <v>54</v>
      </c>
      <c r="D42" s="21" t="s">
        <v>83</v>
      </c>
      <c r="E42" s="21" t="s">
        <v>95</v>
      </c>
      <c r="F42" s="21" t="s">
        <v>202</v>
      </c>
      <c r="G42" s="23" t="s">
        <v>79</v>
      </c>
      <c r="H42" s="21">
        <v>2101</v>
      </c>
      <c r="I42" s="21" t="s">
        <v>80</v>
      </c>
      <c r="J42" s="21" t="s">
        <v>203</v>
      </c>
    </row>
    <row r="43" spans="1:10" s="20" customFormat="1" x14ac:dyDescent="0.25">
      <c r="A43" s="21" t="s">
        <v>204</v>
      </c>
      <c r="B43" s="21" t="s">
        <v>55</v>
      </c>
      <c r="C43" s="21" t="s">
        <v>56</v>
      </c>
      <c r="D43" s="21" t="s">
        <v>83</v>
      </c>
      <c r="E43" s="21" t="s">
        <v>95</v>
      </c>
      <c r="F43" s="21" t="s">
        <v>205</v>
      </c>
      <c r="G43" s="23" t="s">
        <v>79</v>
      </c>
      <c r="H43" s="21">
        <v>2222</v>
      </c>
      <c r="I43" s="21" t="s">
        <v>80</v>
      </c>
      <c r="J43" s="21" t="s">
        <v>206</v>
      </c>
    </row>
    <row r="44" spans="1:10" s="20" customFormat="1" x14ac:dyDescent="0.25">
      <c r="A44" s="21" t="s">
        <v>207</v>
      </c>
      <c r="B44" s="21" t="s">
        <v>55</v>
      </c>
      <c r="C44" s="21" t="s">
        <v>56</v>
      </c>
      <c r="D44" s="21" t="s">
        <v>87</v>
      </c>
      <c r="E44" s="21" t="s">
        <v>95</v>
      </c>
      <c r="F44" s="21" t="s">
        <v>208</v>
      </c>
      <c r="G44" s="23" t="s">
        <v>79</v>
      </c>
      <c r="H44" s="21">
        <v>7040</v>
      </c>
      <c r="I44" s="21" t="s">
        <v>80</v>
      </c>
      <c r="J44" s="21" t="s">
        <v>209</v>
      </c>
    </row>
    <row r="45" spans="1:10" s="20" customFormat="1" x14ac:dyDescent="0.25">
      <c r="A45" s="21" t="s">
        <v>210</v>
      </c>
      <c r="B45" s="21" t="s">
        <v>57</v>
      </c>
      <c r="C45" s="21" t="s">
        <v>58</v>
      </c>
      <c r="D45" s="21" t="s">
        <v>83</v>
      </c>
      <c r="E45" s="21" t="s">
        <v>95</v>
      </c>
      <c r="F45" s="21" t="s">
        <v>211</v>
      </c>
      <c r="G45" s="23" t="s">
        <v>79</v>
      </c>
      <c r="H45" s="21">
        <v>2320</v>
      </c>
      <c r="I45" s="21" t="s">
        <v>80</v>
      </c>
      <c r="J45" s="21" t="s">
        <v>212</v>
      </c>
    </row>
    <row r="46" spans="1:10" s="20" customFormat="1" x14ac:dyDescent="0.25">
      <c r="A46" s="21" t="s">
        <v>213</v>
      </c>
      <c r="B46" s="21" t="s">
        <v>57</v>
      </c>
      <c r="C46" s="21" t="s">
        <v>58</v>
      </c>
      <c r="D46" s="21" t="s">
        <v>83</v>
      </c>
      <c r="E46" s="21" t="s">
        <v>95</v>
      </c>
      <c r="F46" s="21" t="s">
        <v>214</v>
      </c>
      <c r="G46" s="23" t="s">
        <v>79</v>
      </c>
      <c r="H46" s="21">
        <v>1879</v>
      </c>
      <c r="I46" s="21" t="s">
        <v>80</v>
      </c>
      <c r="J46" s="21" t="s">
        <v>215</v>
      </c>
    </row>
    <row r="47" spans="1:10" s="20" customFormat="1" x14ac:dyDescent="0.25">
      <c r="A47" s="21" t="s">
        <v>216</v>
      </c>
      <c r="B47" s="21" t="s">
        <v>57</v>
      </c>
      <c r="C47" s="21" t="s">
        <v>58</v>
      </c>
      <c r="D47" s="21" t="s">
        <v>87</v>
      </c>
      <c r="E47" s="21" t="s">
        <v>95</v>
      </c>
      <c r="F47" s="21" t="s">
        <v>217</v>
      </c>
      <c r="G47" s="23" t="s">
        <v>79</v>
      </c>
      <c r="H47" s="21">
        <v>2293</v>
      </c>
      <c r="I47" s="21" t="s">
        <v>80</v>
      </c>
      <c r="J47" s="21" t="s">
        <v>218</v>
      </c>
    </row>
    <row r="48" spans="1:10" s="20" customFormat="1" x14ac:dyDescent="0.25">
      <c r="A48" s="21" t="s">
        <v>219</v>
      </c>
      <c r="B48" s="21" t="s">
        <v>57</v>
      </c>
      <c r="C48" s="21" t="s">
        <v>58</v>
      </c>
      <c r="D48" s="21" t="s">
        <v>87</v>
      </c>
      <c r="E48" s="21" t="s">
        <v>95</v>
      </c>
      <c r="F48" s="21" t="s">
        <v>220</v>
      </c>
      <c r="G48" s="23" t="s">
        <v>79</v>
      </c>
      <c r="H48" s="21">
        <v>4073</v>
      </c>
      <c r="I48" s="21" t="s">
        <v>80</v>
      </c>
      <c r="J48" s="21" t="s">
        <v>221</v>
      </c>
    </row>
    <row r="49" spans="1:10" s="20" customFormat="1" x14ac:dyDescent="0.25">
      <c r="A49" s="21" t="s">
        <v>222</v>
      </c>
      <c r="B49" s="21" t="s">
        <v>57</v>
      </c>
      <c r="C49" s="21" t="s">
        <v>58</v>
      </c>
      <c r="D49" s="21" t="s">
        <v>83</v>
      </c>
      <c r="E49" s="21" t="s">
        <v>95</v>
      </c>
      <c r="F49" s="21" t="s">
        <v>223</v>
      </c>
      <c r="G49" s="23" t="s">
        <v>79</v>
      </c>
      <c r="H49" s="21">
        <v>6129</v>
      </c>
      <c r="I49" s="21" t="s">
        <v>80</v>
      </c>
      <c r="J49" s="21" t="s">
        <v>224</v>
      </c>
    </row>
    <row r="50" spans="1:10" s="20" customFormat="1" x14ac:dyDescent="0.25">
      <c r="A50" s="21" t="s">
        <v>225</v>
      </c>
      <c r="B50" s="21" t="s">
        <v>57</v>
      </c>
      <c r="C50" s="21" t="s">
        <v>58</v>
      </c>
      <c r="D50" s="21" t="s">
        <v>83</v>
      </c>
      <c r="E50" s="21" t="s">
        <v>95</v>
      </c>
      <c r="F50" s="21" t="s">
        <v>226</v>
      </c>
      <c r="G50" s="23" t="s">
        <v>79</v>
      </c>
      <c r="H50" s="21">
        <v>1897</v>
      </c>
      <c r="I50" s="21" t="s">
        <v>80</v>
      </c>
      <c r="J50" s="21" t="s">
        <v>227</v>
      </c>
    </row>
    <row r="51" spans="1:10" s="20" customFormat="1" x14ac:dyDescent="0.25">
      <c r="A51" s="21" t="s">
        <v>228</v>
      </c>
      <c r="B51" s="21" t="s">
        <v>57</v>
      </c>
      <c r="C51" s="21" t="s">
        <v>58</v>
      </c>
      <c r="D51" s="21" t="s">
        <v>87</v>
      </c>
      <c r="E51" s="21" t="s">
        <v>95</v>
      </c>
      <c r="F51" s="21" t="s">
        <v>229</v>
      </c>
      <c r="G51" s="23" t="s">
        <v>79</v>
      </c>
      <c r="H51" s="21">
        <v>7556</v>
      </c>
      <c r="I51" s="21" t="s">
        <v>80</v>
      </c>
      <c r="J51" s="21" t="s">
        <v>230</v>
      </c>
    </row>
    <row r="52" spans="1:10" s="20" customFormat="1" x14ac:dyDescent="0.25">
      <c r="A52" s="21" t="s">
        <v>231</v>
      </c>
      <c r="B52" s="21" t="s">
        <v>59</v>
      </c>
      <c r="C52" s="21" t="s">
        <v>60</v>
      </c>
      <c r="D52" s="21" t="s">
        <v>83</v>
      </c>
      <c r="E52" s="21" t="s">
        <v>95</v>
      </c>
      <c r="F52" s="21" t="s">
        <v>232</v>
      </c>
      <c r="G52" s="23" t="s">
        <v>79</v>
      </c>
      <c r="H52" s="21">
        <v>1871</v>
      </c>
      <c r="I52" s="21" t="s">
        <v>80</v>
      </c>
      <c r="J52" s="21" t="s">
        <v>233</v>
      </c>
    </row>
    <row r="53" spans="1:10" s="20" customFormat="1" x14ac:dyDescent="0.25">
      <c r="A53" s="21" t="s">
        <v>234</v>
      </c>
      <c r="B53" s="21" t="s">
        <v>59</v>
      </c>
      <c r="C53" s="21" t="s">
        <v>60</v>
      </c>
      <c r="D53" s="21" t="s">
        <v>83</v>
      </c>
      <c r="E53" s="21" t="s">
        <v>95</v>
      </c>
      <c r="F53" s="21" t="s">
        <v>235</v>
      </c>
      <c r="G53" s="23" t="s">
        <v>79</v>
      </c>
      <c r="H53" s="21">
        <v>1787</v>
      </c>
      <c r="I53" s="21" t="s">
        <v>80</v>
      </c>
      <c r="J53" s="21" t="s">
        <v>236</v>
      </c>
    </row>
    <row r="54" spans="1:10" s="20" customFormat="1" x14ac:dyDescent="0.25">
      <c r="A54" s="21" t="s">
        <v>237</v>
      </c>
      <c r="B54" s="21" t="s">
        <v>59</v>
      </c>
      <c r="C54" s="21" t="s">
        <v>60</v>
      </c>
      <c r="D54" s="21" t="s">
        <v>83</v>
      </c>
      <c r="E54" s="21" t="s">
        <v>95</v>
      </c>
      <c r="F54" s="21" t="s">
        <v>238</v>
      </c>
      <c r="G54" s="23" t="s">
        <v>79</v>
      </c>
      <c r="H54" s="21">
        <v>1835</v>
      </c>
      <c r="I54" s="21" t="s">
        <v>80</v>
      </c>
      <c r="J54" s="21" t="s">
        <v>239</v>
      </c>
    </row>
    <row r="55" spans="1:10" s="20" customFormat="1" x14ac:dyDescent="0.25">
      <c r="A55" s="21" t="s">
        <v>240</v>
      </c>
      <c r="B55" s="21" t="s">
        <v>59</v>
      </c>
      <c r="C55" s="21" t="s">
        <v>60</v>
      </c>
      <c r="D55" s="21" t="s">
        <v>87</v>
      </c>
      <c r="E55" s="21" t="s">
        <v>95</v>
      </c>
      <c r="F55" s="21" t="s">
        <v>241</v>
      </c>
      <c r="G55" s="23" t="s">
        <v>79</v>
      </c>
      <c r="H55" s="21">
        <v>1635</v>
      </c>
      <c r="I55" s="21" t="s">
        <v>80</v>
      </c>
      <c r="J55" s="21" t="s">
        <v>242</v>
      </c>
    </row>
    <row r="56" spans="1:10" s="20" customFormat="1" x14ac:dyDescent="0.25">
      <c r="A56" s="21" t="s">
        <v>243</v>
      </c>
      <c r="B56" s="21" t="s">
        <v>59</v>
      </c>
      <c r="C56" s="21" t="s">
        <v>60</v>
      </c>
      <c r="D56" s="21" t="s">
        <v>87</v>
      </c>
      <c r="E56" s="21" t="s">
        <v>95</v>
      </c>
      <c r="F56" s="21" t="s">
        <v>244</v>
      </c>
      <c r="G56" s="23" t="s">
        <v>79</v>
      </c>
      <c r="H56" s="21">
        <v>90</v>
      </c>
      <c r="I56" s="21" t="s">
        <v>80</v>
      </c>
      <c r="J56" s="21" t="s">
        <v>245</v>
      </c>
    </row>
    <row r="57" spans="1:10" s="20" customFormat="1" x14ac:dyDescent="0.25">
      <c r="A57" s="21" t="s">
        <v>246</v>
      </c>
      <c r="B57" s="21" t="s">
        <v>59</v>
      </c>
      <c r="C57" s="21" t="s">
        <v>60</v>
      </c>
      <c r="D57" s="21" t="s">
        <v>87</v>
      </c>
      <c r="E57" s="21" t="s">
        <v>95</v>
      </c>
      <c r="F57" s="21" t="s">
        <v>247</v>
      </c>
      <c r="G57" s="23" t="s">
        <v>79</v>
      </c>
      <c r="H57" s="21">
        <v>1643</v>
      </c>
      <c r="I57" s="21" t="s">
        <v>80</v>
      </c>
      <c r="J57" s="21" t="s">
        <v>248</v>
      </c>
    </row>
    <row r="58" spans="1:10" s="20" customFormat="1" x14ac:dyDescent="0.25">
      <c r="A58" s="21" t="s">
        <v>249</v>
      </c>
      <c r="B58" s="21" t="s">
        <v>59</v>
      </c>
      <c r="C58" s="21" t="s">
        <v>60</v>
      </c>
      <c r="D58" s="21" t="s">
        <v>83</v>
      </c>
      <c r="E58" s="21" t="s">
        <v>95</v>
      </c>
      <c r="F58" s="21" t="s">
        <v>250</v>
      </c>
      <c r="G58" s="22" t="s">
        <v>74</v>
      </c>
      <c r="H58" s="21">
        <v>4358</v>
      </c>
      <c r="I58" s="21" t="s">
        <v>251</v>
      </c>
      <c r="J58" s="21" t="s">
        <v>252</v>
      </c>
    </row>
    <row r="59" spans="1:10" s="20" customFormat="1" x14ac:dyDescent="0.25">
      <c r="A59" s="21" t="s">
        <v>253</v>
      </c>
      <c r="B59" s="21" t="s">
        <v>59</v>
      </c>
      <c r="C59" s="21" t="s">
        <v>60</v>
      </c>
      <c r="D59" s="21" t="s">
        <v>71</v>
      </c>
      <c r="E59" s="21" t="s">
        <v>95</v>
      </c>
      <c r="F59" s="21" t="s">
        <v>254</v>
      </c>
      <c r="G59" s="23" t="s">
        <v>79</v>
      </c>
      <c r="H59" s="21">
        <v>2021</v>
      </c>
      <c r="I59" s="21" t="s">
        <v>80</v>
      </c>
      <c r="J59" s="21" t="s">
        <v>255</v>
      </c>
    </row>
    <row r="60" spans="1:10" s="20" customFormat="1" x14ac:dyDescent="0.25">
      <c r="A60" s="21" t="s">
        <v>256</v>
      </c>
      <c r="B60" s="21" t="s">
        <v>59</v>
      </c>
      <c r="C60" s="21" t="s">
        <v>60</v>
      </c>
      <c r="D60" s="21" t="s">
        <v>83</v>
      </c>
      <c r="E60" s="21" t="s">
        <v>95</v>
      </c>
      <c r="F60" s="21" t="s">
        <v>257</v>
      </c>
      <c r="G60" s="23" t="s">
        <v>79</v>
      </c>
      <c r="H60" s="21">
        <v>1326</v>
      </c>
      <c r="I60" s="21" t="s">
        <v>80</v>
      </c>
      <c r="J60" s="21" t="s">
        <v>258</v>
      </c>
    </row>
    <row r="61" spans="1:10" s="20" customFormat="1" x14ac:dyDescent="0.25">
      <c r="A61" s="21" t="s">
        <v>259</v>
      </c>
      <c r="B61" s="21" t="s">
        <v>61</v>
      </c>
      <c r="C61" s="21" t="s">
        <v>62</v>
      </c>
      <c r="D61" s="21" t="s">
        <v>71</v>
      </c>
      <c r="E61" s="21" t="s">
        <v>260</v>
      </c>
      <c r="F61" s="21" t="s">
        <v>261</v>
      </c>
      <c r="G61" s="23" t="s">
        <v>79</v>
      </c>
      <c r="H61" s="21">
        <v>491</v>
      </c>
      <c r="I61" s="21" t="s">
        <v>80</v>
      </c>
      <c r="J61" s="21" t="s">
        <v>262</v>
      </c>
    </row>
    <row r="62" spans="1:10" s="20" customFormat="1" x14ac:dyDescent="0.25">
      <c r="A62" s="21" t="s">
        <v>263</v>
      </c>
      <c r="B62" s="21" t="s">
        <v>61</v>
      </c>
      <c r="C62" s="21" t="s">
        <v>62</v>
      </c>
      <c r="D62" s="21" t="s">
        <v>71</v>
      </c>
      <c r="E62" s="21" t="s">
        <v>260</v>
      </c>
      <c r="F62" s="21" t="s">
        <v>264</v>
      </c>
      <c r="G62" s="23" t="s">
        <v>79</v>
      </c>
      <c r="H62" s="21">
        <v>316</v>
      </c>
      <c r="I62" s="21" t="s">
        <v>80</v>
      </c>
      <c r="J62" s="21" t="s">
        <v>265</v>
      </c>
    </row>
    <row r="63" spans="1:10" s="20" customFormat="1" x14ac:dyDescent="0.25">
      <c r="A63" s="21" t="s">
        <v>266</v>
      </c>
      <c r="B63" s="21" t="s">
        <v>61</v>
      </c>
      <c r="C63" s="21" t="s">
        <v>62</v>
      </c>
      <c r="D63" s="21" t="s">
        <v>71</v>
      </c>
      <c r="E63" s="21" t="s">
        <v>260</v>
      </c>
      <c r="F63" s="21" t="s">
        <v>267</v>
      </c>
      <c r="G63" s="22" t="s">
        <v>74</v>
      </c>
      <c r="H63" s="21">
        <v>627</v>
      </c>
      <c r="I63" s="21" t="s">
        <v>268</v>
      </c>
      <c r="J63" s="21" t="s">
        <v>269</v>
      </c>
    </row>
    <row r="64" spans="1:10" s="20" customFormat="1" x14ac:dyDescent="0.25">
      <c r="A64" s="21" t="s">
        <v>270</v>
      </c>
      <c r="B64" s="21" t="s">
        <v>61</v>
      </c>
      <c r="C64" s="21" t="s">
        <v>62</v>
      </c>
      <c r="D64" s="21" t="s">
        <v>71</v>
      </c>
      <c r="E64" s="21" t="s">
        <v>260</v>
      </c>
      <c r="F64" s="21" t="s">
        <v>271</v>
      </c>
      <c r="G64" s="23" t="s">
        <v>79</v>
      </c>
      <c r="H64" s="21">
        <v>298</v>
      </c>
      <c r="I64" s="21" t="s">
        <v>80</v>
      </c>
      <c r="J64" s="21" t="s">
        <v>272</v>
      </c>
    </row>
    <row r="65" spans="1:10" s="20" customFormat="1" x14ac:dyDescent="0.25">
      <c r="A65" s="21" t="s">
        <v>273</v>
      </c>
      <c r="B65" s="21" t="s">
        <v>61</v>
      </c>
      <c r="C65" s="21" t="s">
        <v>62</v>
      </c>
      <c r="D65" s="21" t="s">
        <v>83</v>
      </c>
      <c r="E65" s="21" t="s">
        <v>95</v>
      </c>
      <c r="F65" s="21" t="s">
        <v>274</v>
      </c>
      <c r="G65" s="23" t="s">
        <v>79</v>
      </c>
      <c r="H65" s="21">
        <v>1638</v>
      </c>
      <c r="I65" s="21" t="s">
        <v>80</v>
      </c>
      <c r="J65" s="21" t="s">
        <v>275</v>
      </c>
    </row>
    <row r="66" spans="1:10" s="20" customFormat="1" x14ac:dyDescent="0.25">
      <c r="A66" s="21" t="s">
        <v>276</v>
      </c>
      <c r="B66" s="21" t="s">
        <v>61</v>
      </c>
      <c r="C66" s="21" t="s">
        <v>62</v>
      </c>
      <c r="D66" s="21" t="s">
        <v>71</v>
      </c>
      <c r="E66" s="21" t="s">
        <v>95</v>
      </c>
      <c r="F66" s="21" t="s">
        <v>277</v>
      </c>
      <c r="G66" s="23" t="s">
        <v>79</v>
      </c>
      <c r="H66" s="21">
        <v>889</v>
      </c>
      <c r="I66" s="21" t="s">
        <v>80</v>
      </c>
      <c r="J66" s="21" t="s">
        <v>278</v>
      </c>
    </row>
    <row r="67" spans="1:10" s="20" customFormat="1" x14ac:dyDescent="0.25">
      <c r="A67" s="21" t="s">
        <v>279</v>
      </c>
      <c r="B67" s="21" t="s">
        <v>61</v>
      </c>
      <c r="C67" s="21" t="s">
        <v>62</v>
      </c>
      <c r="D67" s="21" t="s">
        <v>87</v>
      </c>
      <c r="E67" s="21" t="s">
        <v>95</v>
      </c>
      <c r="F67" s="21" t="s">
        <v>280</v>
      </c>
      <c r="G67" s="23" t="s">
        <v>79</v>
      </c>
      <c r="H67" s="21">
        <v>2031</v>
      </c>
      <c r="I67" s="21" t="s">
        <v>80</v>
      </c>
      <c r="J67" s="21" t="s">
        <v>281</v>
      </c>
    </row>
    <row r="68" spans="1:10" s="20" customFormat="1" x14ac:dyDescent="0.25">
      <c r="A68" s="21" t="s">
        <v>282</v>
      </c>
      <c r="B68" s="21" t="s">
        <v>61</v>
      </c>
      <c r="C68" s="21" t="s">
        <v>62</v>
      </c>
      <c r="D68" s="21" t="s">
        <v>71</v>
      </c>
      <c r="E68" s="21" t="s">
        <v>95</v>
      </c>
      <c r="F68" s="21" t="s">
        <v>283</v>
      </c>
      <c r="G68" s="23" t="s">
        <v>79</v>
      </c>
      <c r="H68" s="21">
        <v>4</v>
      </c>
      <c r="I68" s="21" t="s">
        <v>80</v>
      </c>
      <c r="J68" s="21" t="s">
        <v>284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4" customWidth="1"/>
    <col min="4" max="5" width="12" customWidth="1"/>
    <col min="6" max="6" width="14" customWidth="1"/>
    <col min="7" max="7" width="36" customWidth="1"/>
    <col min="8" max="8" width="40" customWidth="1"/>
  </cols>
  <sheetData>
    <row r="1" ht="24" customHeight="1" spans="1:8" x14ac:dyDescent="0.25">
      <c r="A1" s="12" t="s">
        <v>25</v>
      </c>
      <c r="B1" s="12" t="s">
        <v>26</v>
      </c>
      <c r="C1" s="12" t="s">
        <v>285</v>
      </c>
      <c r="D1" s="12" t="s">
        <v>286</v>
      </c>
      <c r="E1" s="12" t="s">
        <v>287</v>
      </c>
      <c r="F1" s="12" t="s">
        <v>288</v>
      </c>
      <c r="G1" s="12" t="s">
        <v>289</v>
      </c>
      <c r="H1" s="12" t="s">
        <v>290</v>
      </c>
    </row>
    <row r="2" spans="1:8" s="20" customFormat="1" x14ac:dyDescent="0.25">
      <c r="A2" s="21" t="s">
        <v>29</v>
      </c>
      <c r="B2" s="21" t="s">
        <v>30</v>
      </c>
      <c r="C2" s="21" t="s">
        <v>291</v>
      </c>
      <c r="D2" s="21">
        <v>5</v>
      </c>
      <c r="E2" s="21">
        <v>5</v>
      </c>
      <c r="F2" s="24">
        <f>E2/D2</f>
      </c>
      <c r="G2" s="21" t="s">
        <v>292</v>
      </c>
      <c r="H2" s="21" t="s">
        <v>293</v>
      </c>
    </row>
    <row r="3" spans="1:8" s="20" customFormat="1" x14ac:dyDescent="0.25">
      <c r="A3" s="21" t="s">
        <v>32</v>
      </c>
      <c r="B3" s="21" t="s">
        <v>33</v>
      </c>
      <c r="C3" s="21" t="s">
        <v>294</v>
      </c>
      <c r="D3" s="21">
        <v>5</v>
      </c>
      <c r="E3" s="21">
        <v>5</v>
      </c>
      <c r="F3" s="24">
        <f>E3/D3</f>
      </c>
      <c r="G3" s="21" t="s">
        <v>295</v>
      </c>
      <c r="H3" s="21" t="s">
        <v>293</v>
      </c>
    </row>
    <row r="4" spans="1:8" s="20" customFormat="1" x14ac:dyDescent="0.25">
      <c r="A4" s="21" t="s">
        <v>35</v>
      </c>
      <c r="B4" s="21" t="s">
        <v>36</v>
      </c>
      <c r="C4" s="21" t="s">
        <v>296</v>
      </c>
      <c r="D4" s="21">
        <v>7</v>
      </c>
      <c r="E4" s="21">
        <v>7</v>
      </c>
      <c r="F4" s="24">
        <f>E4/D4</f>
      </c>
      <c r="G4" s="21" t="s">
        <v>297</v>
      </c>
      <c r="H4" s="21" t="s">
        <v>293</v>
      </c>
    </row>
    <row r="5" spans="1:8" s="20" customFormat="1" x14ac:dyDescent="0.25">
      <c r="A5" s="21" t="s">
        <v>37</v>
      </c>
      <c r="B5" s="21" t="s">
        <v>38</v>
      </c>
      <c r="C5" s="21" t="s">
        <v>298</v>
      </c>
      <c r="D5" s="21">
        <v>3</v>
      </c>
      <c r="E5" s="21">
        <v>3</v>
      </c>
      <c r="F5" s="24">
        <f>E5/D5</f>
      </c>
      <c r="G5" s="21" t="s">
        <v>299</v>
      </c>
      <c r="H5" s="21" t="s">
        <v>293</v>
      </c>
    </row>
    <row r="6" spans="1:8" s="20" customFormat="1" x14ac:dyDescent="0.25">
      <c r="A6" s="21" t="s">
        <v>39</v>
      </c>
      <c r="B6" s="21" t="s">
        <v>40</v>
      </c>
      <c r="C6" s="21" t="s">
        <v>300</v>
      </c>
      <c r="D6" s="21">
        <v>7</v>
      </c>
      <c r="E6" s="21">
        <v>7</v>
      </c>
      <c r="F6" s="24">
        <f>E6/D6</f>
      </c>
      <c r="G6" s="21" t="s">
        <v>301</v>
      </c>
      <c r="H6" s="21" t="s">
        <v>293</v>
      </c>
    </row>
    <row r="7" spans="1:8" s="20" customFormat="1" x14ac:dyDescent="0.25">
      <c r="A7" s="21" t="s">
        <v>41</v>
      </c>
      <c r="B7" s="21" t="s">
        <v>42</v>
      </c>
      <c r="C7" s="21" t="s">
        <v>302</v>
      </c>
      <c r="D7" s="21">
        <v>3</v>
      </c>
      <c r="E7" s="21">
        <v>3</v>
      </c>
      <c r="F7" s="24">
        <f>E7/D7</f>
      </c>
      <c r="G7" s="21" t="s">
        <v>303</v>
      </c>
      <c r="H7" s="21" t="s">
        <v>293</v>
      </c>
    </row>
    <row r="8" spans="1:8" s="20" customFormat="1" x14ac:dyDescent="0.25">
      <c r="A8" s="21" t="s">
        <v>43</v>
      </c>
      <c r="B8" s="21" t="s">
        <v>44</v>
      </c>
      <c r="C8" s="21" t="s">
        <v>304</v>
      </c>
      <c r="D8" s="21">
        <v>1</v>
      </c>
      <c r="E8" s="21">
        <v>1</v>
      </c>
      <c r="F8" s="24">
        <f>E8/D8</f>
      </c>
      <c r="G8" s="21" t="s">
        <v>305</v>
      </c>
      <c r="H8" s="21" t="s">
        <v>293</v>
      </c>
    </row>
    <row r="9" spans="1:8" s="20" customFormat="1" x14ac:dyDescent="0.25">
      <c r="A9" s="21" t="s">
        <v>45</v>
      </c>
      <c r="B9" s="21" t="s">
        <v>46</v>
      </c>
      <c r="C9" s="21" t="s">
        <v>306</v>
      </c>
      <c r="D9" s="21">
        <v>1</v>
      </c>
      <c r="E9" s="21">
        <v>1</v>
      </c>
      <c r="F9" s="24">
        <f>E9/D9</f>
      </c>
      <c r="G9" s="21" t="s">
        <v>307</v>
      </c>
      <c r="H9" s="21" t="s">
        <v>293</v>
      </c>
    </row>
    <row r="10" spans="1:8" s="20" customFormat="1" x14ac:dyDescent="0.25">
      <c r="A10" s="21" t="s">
        <v>47</v>
      </c>
      <c r="B10" s="21" t="s">
        <v>48</v>
      </c>
      <c r="C10" s="21" t="s">
        <v>308</v>
      </c>
      <c r="D10" s="21">
        <v>2</v>
      </c>
      <c r="E10" s="21">
        <v>2</v>
      </c>
      <c r="F10" s="24">
        <f>E10/D10</f>
      </c>
      <c r="G10" s="21" t="s">
        <v>307</v>
      </c>
      <c r="H10" s="21" t="s">
        <v>293</v>
      </c>
    </row>
    <row r="11" spans="1:8" s="20" customFormat="1" x14ac:dyDescent="0.25">
      <c r="A11" s="21" t="s">
        <v>49</v>
      </c>
      <c r="B11" s="21" t="s">
        <v>50</v>
      </c>
      <c r="C11" s="21" t="s">
        <v>309</v>
      </c>
      <c r="D11" s="21">
        <v>2</v>
      </c>
      <c r="E11" s="21">
        <v>2</v>
      </c>
      <c r="F11" s="24">
        <f>E11/D11</f>
      </c>
      <c r="G11" s="21" t="s">
        <v>310</v>
      </c>
      <c r="H11" s="21" t="s">
        <v>293</v>
      </c>
    </row>
    <row r="12" spans="1:8" s="20" customFormat="1" x14ac:dyDescent="0.25">
      <c r="A12" s="21" t="s">
        <v>51</v>
      </c>
      <c r="B12" s="21" t="s">
        <v>52</v>
      </c>
      <c r="C12" s="21" t="s">
        <v>311</v>
      </c>
      <c r="D12" s="21">
        <v>3</v>
      </c>
      <c r="E12" s="21">
        <v>3</v>
      </c>
      <c r="F12" s="24">
        <f>E12/D12</f>
      </c>
      <c r="G12" s="21" t="s">
        <v>312</v>
      </c>
      <c r="H12" s="21" t="s">
        <v>293</v>
      </c>
    </row>
    <row r="13" spans="1:8" s="20" customFormat="1" x14ac:dyDescent="0.25">
      <c r="A13" s="21" t="s">
        <v>53</v>
      </c>
      <c r="B13" s="21" t="s">
        <v>54</v>
      </c>
      <c r="C13" s="21" t="s">
        <v>313</v>
      </c>
      <c r="D13" s="21">
        <v>2</v>
      </c>
      <c r="E13" s="21">
        <v>2</v>
      </c>
      <c r="F13" s="24">
        <f>E13/D13</f>
      </c>
      <c r="G13" s="21" t="s">
        <v>314</v>
      </c>
      <c r="H13" s="21" t="s">
        <v>293</v>
      </c>
    </row>
    <row r="14" spans="1:8" s="20" customFormat="1" x14ac:dyDescent="0.25">
      <c r="A14" s="21" t="s">
        <v>55</v>
      </c>
      <c r="B14" s="21" t="s">
        <v>56</v>
      </c>
      <c r="C14" s="21" t="s">
        <v>315</v>
      </c>
      <c r="D14" s="21">
        <v>2</v>
      </c>
      <c r="E14" s="21">
        <v>2</v>
      </c>
      <c r="F14" s="24">
        <f>E14/D14</f>
      </c>
      <c r="G14" s="21" t="s">
        <v>316</v>
      </c>
      <c r="H14" s="21" t="s">
        <v>293</v>
      </c>
    </row>
    <row r="15" spans="1:8" s="20" customFormat="1" x14ac:dyDescent="0.25">
      <c r="A15" s="21" t="s">
        <v>57</v>
      </c>
      <c r="B15" s="21" t="s">
        <v>58</v>
      </c>
      <c r="C15" s="21" t="s">
        <v>317</v>
      </c>
      <c r="D15" s="21">
        <v>7</v>
      </c>
      <c r="E15" s="21">
        <v>7</v>
      </c>
      <c r="F15" s="24">
        <f>E15/D15</f>
      </c>
      <c r="G15" s="21" t="s">
        <v>318</v>
      </c>
      <c r="H15" s="21" t="s">
        <v>293</v>
      </c>
    </row>
    <row r="16" spans="1:8" s="20" customFormat="1" x14ac:dyDescent="0.25">
      <c r="A16" s="21" t="s">
        <v>59</v>
      </c>
      <c r="B16" s="21" t="s">
        <v>60</v>
      </c>
      <c r="C16" s="21" t="s">
        <v>319</v>
      </c>
      <c r="D16" s="21">
        <v>9</v>
      </c>
      <c r="E16" s="21">
        <v>9</v>
      </c>
      <c r="F16" s="24">
        <f>E16/D16</f>
      </c>
      <c r="G16" s="21" t="s">
        <v>320</v>
      </c>
      <c r="H16" s="21" t="s">
        <v>293</v>
      </c>
    </row>
    <row r="17" spans="1:8" s="20" customFormat="1" x14ac:dyDescent="0.25">
      <c r="A17" s="21" t="s">
        <v>61</v>
      </c>
      <c r="B17" s="21" t="s">
        <v>62</v>
      </c>
      <c r="C17" s="21" t="s">
        <v>321</v>
      </c>
      <c r="D17" s="21">
        <v>8</v>
      </c>
      <c r="E17" s="21">
        <v>8</v>
      </c>
      <c r="F17" s="24">
        <f>E17/D17</f>
      </c>
      <c r="G17" s="21" t="s">
        <v>322</v>
      </c>
      <c r="H17" s="21" t="s">
        <v>323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34" customWidth="1"/>
    <col min="5" max="5" width="12" customWidth="1"/>
    <col min="6" max="6" width="32" customWidth="1"/>
    <col min="7" max="7" width="40" customWidth="1"/>
    <col min="8" max="9" width="34" customWidth="1"/>
    <col min="10" max="10" width="44" customWidth="1"/>
  </cols>
  <sheetData>
    <row r="1" ht="24" customHeight="1" spans="1:10" x14ac:dyDescent="0.25">
      <c r="A1" s="12" t="s">
        <v>324</v>
      </c>
      <c r="B1" s="12" t="s">
        <v>63</v>
      </c>
      <c r="C1" s="12" t="s">
        <v>325</v>
      </c>
      <c r="D1" s="12" t="s">
        <v>326</v>
      </c>
      <c r="E1" s="12" t="s">
        <v>327</v>
      </c>
      <c r="F1" s="12" t="s">
        <v>328</v>
      </c>
      <c r="G1" s="12" t="s">
        <v>329</v>
      </c>
      <c r="H1" s="12" t="s">
        <v>330</v>
      </c>
      <c r="I1" s="12" t="s">
        <v>331</v>
      </c>
      <c r="J1" s="12" t="s">
        <v>332</v>
      </c>
    </row>
    <row r="2" spans="1:10" s="20" customFormat="1" x14ac:dyDescent="0.25">
      <c r="A2" s="21" t="s">
        <v>333</v>
      </c>
      <c r="B2" s="21" t="s">
        <v>198</v>
      </c>
      <c r="C2" s="21" t="s">
        <v>334</v>
      </c>
      <c r="D2" s="21" t="s">
        <v>335</v>
      </c>
      <c r="E2" s="25" t="s">
        <v>336</v>
      </c>
      <c r="F2" s="21" t="s">
        <v>337</v>
      </c>
      <c r="G2" s="21" t="s">
        <v>338</v>
      </c>
      <c r="H2" s="21" t="s">
        <v>339</v>
      </c>
      <c r="I2" s="21" t="s">
        <v>340</v>
      </c>
      <c r="J2" s="21" t="s">
        <v>341</v>
      </c>
    </row>
    <row r="3" spans="1:10" s="20" customFormat="1" x14ac:dyDescent="0.25">
      <c r="A3" s="21" t="s">
        <v>342</v>
      </c>
      <c r="B3" s="21" t="s">
        <v>266</v>
      </c>
      <c r="C3" s="21" t="s">
        <v>62</v>
      </c>
      <c r="D3" s="21" t="s">
        <v>343</v>
      </c>
      <c r="E3" s="25" t="s">
        <v>336</v>
      </c>
      <c r="F3" s="21" t="s">
        <v>344</v>
      </c>
      <c r="G3" s="21" t="s">
        <v>345</v>
      </c>
      <c r="H3" s="21" t="s">
        <v>346</v>
      </c>
      <c r="I3" s="21" t="s">
        <v>347</v>
      </c>
      <c r="J3" s="21" t="s">
        <v>348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workbookViewId="0"/>
  </sheetViews>
  <sheetFormatPr defaultRowHeight="15" outlineLevelRow="0" outlineLevelCol="0" x14ac:dyDescent="55"/>
  <cols>
    <col min="1" max="1" width="22" customWidth="1"/>
    <col min="2" max="2" width="16" customWidth="1"/>
    <col min="3" max="4" width="12" customWidth="1"/>
    <col min="5" max="5" width="14" customWidth="1"/>
    <col min="6" max="6" width="26" customWidth="1"/>
    <col min="7" max="7" width="44" customWidth="1"/>
  </cols>
  <sheetData>
    <row r="1" ht="24" customHeight="1" spans="1:7" x14ac:dyDescent="0.25">
      <c r="A1" s="12" t="s">
        <v>349</v>
      </c>
      <c r="B1" s="12" t="s">
        <v>63</v>
      </c>
      <c r="C1" s="12" t="s">
        <v>350</v>
      </c>
      <c r="D1" s="12" t="s">
        <v>28</v>
      </c>
      <c r="E1" s="12" t="s">
        <v>67</v>
      </c>
      <c r="F1" s="12" t="s">
        <v>351</v>
      </c>
      <c r="G1" s="12" t="s">
        <v>352</v>
      </c>
    </row>
    <row r="2" spans="1:7" s="26" customFormat="1" x14ac:dyDescent="0.25">
      <c r="A2" s="27" t="s">
        <v>4</v>
      </c>
      <c r="B2" s="27" t="s">
        <v>158</v>
      </c>
      <c r="C2" s="27">
        <v>1</v>
      </c>
      <c r="D2" s="23" t="s">
        <v>79</v>
      </c>
      <c r="E2" s="27">
        <v>0</v>
      </c>
      <c r="F2" s="27" t="s">
        <v>353</v>
      </c>
      <c r="G2" s="27" t="s">
        <v>80</v>
      </c>
    </row>
    <row r="3" spans="1:7" s="26" customFormat="1" x14ac:dyDescent="0.25">
      <c r="A3" s="27" t="s">
        <v>4</v>
      </c>
      <c r="B3" s="27" t="s">
        <v>195</v>
      </c>
      <c r="C3" s="27">
        <v>1</v>
      </c>
      <c r="D3" s="23" t="s">
        <v>79</v>
      </c>
      <c r="E3" s="27">
        <v>0</v>
      </c>
      <c r="F3" s="27" t="s">
        <v>353</v>
      </c>
      <c r="G3" s="27" t="s">
        <v>80</v>
      </c>
    </row>
    <row r="4" spans="1:7" s="26" customFormat="1" x14ac:dyDescent="0.25">
      <c r="A4" s="27" t="s">
        <v>4</v>
      </c>
      <c r="B4" s="27" t="s">
        <v>94</v>
      </c>
      <c r="C4" s="27">
        <v>1</v>
      </c>
      <c r="D4" s="23" t="s">
        <v>79</v>
      </c>
      <c r="E4" s="27">
        <v>2050</v>
      </c>
      <c r="F4" s="27" t="s">
        <v>354</v>
      </c>
      <c r="G4" s="27" t="s">
        <v>80</v>
      </c>
    </row>
    <row r="5" spans="1:7" s="26" customFormat="1" x14ac:dyDescent="0.25">
      <c r="A5" s="27" t="s">
        <v>4</v>
      </c>
      <c r="B5" s="27" t="s">
        <v>98</v>
      </c>
      <c r="C5" s="27">
        <v>1</v>
      </c>
      <c r="D5" s="23" t="s">
        <v>79</v>
      </c>
      <c r="E5" s="27">
        <v>1947</v>
      </c>
      <c r="F5" s="27" t="s">
        <v>355</v>
      </c>
      <c r="G5" s="27" t="s">
        <v>80</v>
      </c>
    </row>
    <row r="6" spans="1:7" s="26" customFormat="1" x14ac:dyDescent="0.25">
      <c r="A6" s="27" t="s">
        <v>4</v>
      </c>
      <c r="B6" s="27" t="s">
        <v>101</v>
      </c>
      <c r="C6" s="27">
        <v>1</v>
      </c>
      <c r="D6" s="23" t="s">
        <v>79</v>
      </c>
      <c r="E6" s="27">
        <v>1622</v>
      </c>
      <c r="F6" s="27" t="s">
        <v>356</v>
      </c>
      <c r="G6" s="27" t="s">
        <v>80</v>
      </c>
    </row>
    <row r="7" spans="1:7" s="26" customFormat="1" x14ac:dyDescent="0.25">
      <c r="A7" s="27" t="s">
        <v>4</v>
      </c>
      <c r="B7" s="27" t="s">
        <v>104</v>
      </c>
      <c r="C7" s="27">
        <v>1</v>
      </c>
      <c r="D7" s="23" t="s">
        <v>79</v>
      </c>
      <c r="E7" s="27">
        <v>1788</v>
      </c>
      <c r="F7" s="27" t="s">
        <v>357</v>
      </c>
      <c r="G7" s="27" t="s">
        <v>80</v>
      </c>
    </row>
    <row r="8" spans="1:7" s="26" customFormat="1" x14ac:dyDescent="0.25">
      <c r="A8" s="27" t="s">
        <v>4</v>
      </c>
      <c r="B8" s="27" t="s">
        <v>107</v>
      </c>
      <c r="C8" s="27">
        <v>1</v>
      </c>
      <c r="D8" s="23" t="s">
        <v>79</v>
      </c>
      <c r="E8" s="27">
        <v>1742</v>
      </c>
      <c r="F8" s="27" t="s">
        <v>358</v>
      </c>
      <c r="G8" s="27" t="s">
        <v>80</v>
      </c>
    </row>
    <row r="9" spans="1:7" s="26" customFormat="1" x14ac:dyDescent="0.25">
      <c r="A9" s="27" t="s">
        <v>4</v>
      </c>
      <c r="B9" s="27" t="s">
        <v>110</v>
      </c>
      <c r="C9" s="27">
        <v>1</v>
      </c>
      <c r="D9" s="23" t="s">
        <v>79</v>
      </c>
      <c r="E9" s="27">
        <v>2385</v>
      </c>
      <c r="F9" s="27" t="s">
        <v>359</v>
      </c>
      <c r="G9" s="27" t="s">
        <v>80</v>
      </c>
    </row>
    <row r="10" spans="1:7" s="26" customFormat="1" x14ac:dyDescent="0.25">
      <c r="A10" s="27" t="s">
        <v>4</v>
      </c>
      <c r="B10" s="27" t="s">
        <v>113</v>
      </c>
      <c r="C10" s="27">
        <v>1</v>
      </c>
      <c r="D10" s="23" t="s">
        <v>79</v>
      </c>
      <c r="E10" s="27">
        <v>2225</v>
      </c>
      <c r="F10" s="27" t="s">
        <v>360</v>
      </c>
      <c r="G10" s="27" t="s">
        <v>80</v>
      </c>
    </row>
    <row r="11" spans="1:7" s="26" customFormat="1" x14ac:dyDescent="0.25">
      <c r="A11" s="27" t="s">
        <v>4</v>
      </c>
      <c r="B11" s="27" t="s">
        <v>116</v>
      </c>
      <c r="C11" s="27">
        <v>1</v>
      </c>
      <c r="D11" s="23" t="s">
        <v>79</v>
      </c>
      <c r="E11" s="27">
        <v>1394</v>
      </c>
      <c r="F11" s="27" t="s">
        <v>361</v>
      </c>
      <c r="G11" s="27" t="s">
        <v>80</v>
      </c>
    </row>
    <row r="12" spans="1:7" s="26" customFormat="1" x14ac:dyDescent="0.25">
      <c r="A12" s="27" t="s">
        <v>4</v>
      </c>
      <c r="B12" s="27" t="s">
        <v>119</v>
      </c>
      <c r="C12" s="27">
        <v>1</v>
      </c>
      <c r="D12" s="23" t="s">
        <v>79</v>
      </c>
      <c r="E12" s="27">
        <v>1953</v>
      </c>
      <c r="F12" s="27" t="s">
        <v>362</v>
      </c>
      <c r="G12" s="27" t="s">
        <v>80</v>
      </c>
    </row>
    <row r="13" spans="1:7" s="26" customFormat="1" x14ac:dyDescent="0.25">
      <c r="A13" s="27" t="s">
        <v>4</v>
      </c>
      <c r="B13" s="27" t="s">
        <v>122</v>
      </c>
      <c r="C13" s="27">
        <v>1</v>
      </c>
      <c r="D13" s="23" t="s">
        <v>79</v>
      </c>
      <c r="E13" s="27">
        <v>3328</v>
      </c>
      <c r="F13" s="27" t="s">
        <v>363</v>
      </c>
      <c r="G13" s="27" t="s">
        <v>80</v>
      </c>
    </row>
    <row r="14" spans="1:7" s="26" customFormat="1" x14ac:dyDescent="0.25">
      <c r="A14" s="27" t="s">
        <v>4</v>
      </c>
      <c r="B14" s="27" t="s">
        <v>125</v>
      </c>
      <c r="C14" s="27">
        <v>1</v>
      </c>
      <c r="D14" s="23" t="s">
        <v>79</v>
      </c>
      <c r="E14" s="27">
        <v>1931</v>
      </c>
      <c r="F14" s="27" t="s">
        <v>364</v>
      </c>
      <c r="G14" s="27" t="s">
        <v>80</v>
      </c>
    </row>
    <row r="15" spans="1:7" s="26" customFormat="1" x14ac:dyDescent="0.25">
      <c r="A15" s="27" t="s">
        <v>4</v>
      </c>
      <c r="B15" s="27" t="s">
        <v>128</v>
      </c>
      <c r="C15" s="27">
        <v>1</v>
      </c>
      <c r="D15" s="23" t="s">
        <v>79</v>
      </c>
      <c r="E15" s="27">
        <v>1942</v>
      </c>
      <c r="F15" s="27" t="s">
        <v>365</v>
      </c>
      <c r="G15" s="27" t="s">
        <v>80</v>
      </c>
    </row>
    <row r="16" spans="1:7" s="26" customFormat="1" x14ac:dyDescent="0.25">
      <c r="A16" s="27" t="s">
        <v>4</v>
      </c>
      <c r="B16" s="27" t="s">
        <v>131</v>
      </c>
      <c r="C16" s="27">
        <v>1</v>
      </c>
      <c r="D16" s="23" t="s">
        <v>79</v>
      </c>
      <c r="E16" s="27">
        <v>2534</v>
      </c>
      <c r="F16" s="27" t="s">
        <v>366</v>
      </c>
      <c r="G16" s="27" t="s">
        <v>80</v>
      </c>
    </row>
    <row r="17" spans="1:7" s="26" customFormat="1" x14ac:dyDescent="0.25">
      <c r="A17" s="27" t="s">
        <v>4</v>
      </c>
      <c r="B17" s="27" t="s">
        <v>134</v>
      </c>
      <c r="C17" s="27">
        <v>1</v>
      </c>
      <c r="D17" s="23" t="s">
        <v>79</v>
      </c>
      <c r="E17" s="27">
        <v>2529</v>
      </c>
      <c r="F17" s="27" t="s">
        <v>367</v>
      </c>
      <c r="G17" s="27" t="s">
        <v>80</v>
      </c>
    </row>
    <row r="18" spans="1:7" s="26" customFormat="1" x14ac:dyDescent="0.25">
      <c r="A18" s="27" t="s">
        <v>4</v>
      </c>
      <c r="B18" s="27" t="s">
        <v>137</v>
      </c>
      <c r="C18" s="27">
        <v>1</v>
      </c>
      <c r="D18" s="23" t="s">
        <v>79</v>
      </c>
      <c r="E18" s="27">
        <v>2241</v>
      </c>
      <c r="F18" s="27" t="s">
        <v>368</v>
      </c>
      <c r="G18" s="27" t="s">
        <v>80</v>
      </c>
    </row>
    <row r="19" spans="1:7" s="26" customFormat="1" x14ac:dyDescent="0.25">
      <c r="A19" s="27" t="s">
        <v>4</v>
      </c>
      <c r="B19" s="27" t="s">
        <v>140</v>
      </c>
      <c r="C19" s="27">
        <v>1</v>
      </c>
      <c r="D19" s="23" t="s">
        <v>79</v>
      </c>
      <c r="E19" s="27">
        <v>3954</v>
      </c>
      <c r="F19" s="27" t="s">
        <v>369</v>
      </c>
      <c r="G19" s="27" t="s">
        <v>80</v>
      </c>
    </row>
    <row r="20" spans="1:7" s="26" customFormat="1" x14ac:dyDescent="0.25">
      <c r="A20" s="27" t="s">
        <v>4</v>
      </c>
      <c r="B20" s="27" t="s">
        <v>143</v>
      </c>
      <c r="C20" s="27">
        <v>1</v>
      </c>
      <c r="D20" s="23" t="s">
        <v>79</v>
      </c>
      <c r="E20" s="27">
        <v>3894</v>
      </c>
      <c r="F20" s="27" t="s">
        <v>370</v>
      </c>
      <c r="G20" s="27" t="s">
        <v>80</v>
      </c>
    </row>
    <row r="21" spans="1:7" s="26" customFormat="1" x14ac:dyDescent="0.25">
      <c r="A21" s="27" t="s">
        <v>4</v>
      </c>
      <c r="B21" s="27" t="s">
        <v>146</v>
      </c>
      <c r="C21" s="27">
        <v>1</v>
      </c>
      <c r="D21" s="23" t="s">
        <v>79</v>
      </c>
      <c r="E21" s="27">
        <v>2465</v>
      </c>
      <c r="F21" s="27" t="s">
        <v>371</v>
      </c>
      <c r="G21" s="27" t="s">
        <v>80</v>
      </c>
    </row>
    <row r="22" spans="1:7" s="26" customFormat="1" x14ac:dyDescent="0.25">
      <c r="A22" s="27" t="s">
        <v>4</v>
      </c>
      <c r="B22" s="27" t="s">
        <v>149</v>
      </c>
      <c r="C22" s="27">
        <v>1</v>
      </c>
      <c r="D22" s="23" t="s">
        <v>79</v>
      </c>
      <c r="E22" s="27">
        <v>3899</v>
      </c>
      <c r="F22" s="27" t="s">
        <v>372</v>
      </c>
      <c r="G22" s="27" t="s">
        <v>80</v>
      </c>
    </row>
    <row r="23" spans="1:7" s="26" customFormat="1" x14ac:dyDescent="0.25">
      <c r="A23" s="27" t="s">
        <v>4</v>
      </c>
      <c r="B23" s="27" t="s">
        <v>152</v>
      </c>
      <c r="C23" s="27">
        <v>1</v>
      </c>
      <c r="D23" s="23" t="s">
        <v>79</v>
      </c>
      <c r="E23" s="27">
        <v>3932</v>
      </c>
      <c r="F23" s="27" t="s">
        <v>373</v>
      </c>
      <c r="G23" s="27" t="s">
        <v>80</v>
      </c>
    </row>
    <row r="24" spans="1:7" s="26" customFormat="1" x14ac:dyDescent="0.25">
      <c r="A24" s="27" t="s">
        <v>4</v>
      </c>
      <c r="B24" s="27" t="s">
        <v>155</v>
      </c>
      <c r="C24" s="27">
        <v>1</v>
      </c>
      <c r="D24" s="23" t="s">
        <v>79</v>
      </c>
      <c r="E24" s="27">
        <v>3148</v>
      </c>
      <c r="F24" s="27" t="s">
        <v>374</v>
      </c>
      <c r="G24" s="27" t="s">
        <v>80</v>
      </c>
    </row>
    <row r="25" spans="1:7" s="26" customFormat="1" x14ac:dyDescent="0.25">
      <c r="A25" s="27" t="s">
        <v>4</v>
      </c>
      <c r="B25" s="27" t="s">
        <v>162</v>
      </c>
      <c r="C25" s="27">
        <v>1</v>
      </c>
      <c r="D25" s="23" t="s">
        <v>79</v>
      </c>
      <c r="E25" s="27">
        <v>3897</v>
      </c>
      <c r="F25" s="27" t="s">
        <v>375</v>
      </c>
      <c r="G25" s="27" t="s">
        <v>80</v>
      </c>
    </row>
    <row r="26" spans="1:7" s="26" customFormat="1" x14ac:dyDescent="0.25">
      <c r="A26" s="27" t="s">
        <v>4</v>
      </c>
      <c r="B26" s="27" t="s">
        <v>165</v>
      </c>
      <c r="C26" s="27">
        <v>1</v>
      </c>
      <c r="D26" s="23" t="s">
        <v>79</v>
      </c>
      <c r="E26" s="27">
        <v>2735</v>
      </c>
      <c r="F26" s="27" t="s">
        <v>376</v>
      </c>
      <c r="G26" s="27" t="s">
        <v>80</v>
      </c>
    </row>
    <row r="27" spans="1:7" s="26" customFormat="1" x14ac:dyDescent="0.25">
      <c r="A27" s="27" t="s">
        <v>4</v>
      </c>
      <c r="B27" s="27" t="s">
        <v>168</v>
      </c>
      <c r="C27" s="27">
        <v>1</v>
      </c>
      <c r="D27" s="23" t="s">
        <v>79</v>
      </c>
      <c r="E27" s="27">
        <v>2534</v>
      </c>
      <c r="F27" s="27" t="s">
        <v>377</v>
      </c>
      <c r="G27" s="27" t="s">
        <v>80</v>
      </c>
    </row>
    <row r="28" spans="1:7" s="26" customFormat="1" x14ac:dyDescent="0.25">
      <c r="A28" s="27" t="s">
        <v>4</v>
      </c>
      <c r="B28" s="27" t="s">
        <v>174</v>
      </c>
      <c r="C28" s="27">
        <v>1</v>
      </c>
      <c r="D28" s="23" t="s">
        <v>79</v>
      </c>
      <c r="E28" s="27">
        <v>4001</v>
      </c>
      <c r="F28" s="27" t="s">
        <v>378</v>
      </c>
      <c r="G28" s="27" t="s">
        <v>80</v>
      </c>
    </row>
    <row r="29" spans="1:7" s="26" customFormat="1" x14ac:dyDescent="0.25">
      <c r="A29" s="27" t="s">
        <v>4</v>
      </c>
      <c r="B29" s="27" t="s">
        <v>177</v>
      </c>
      <c r="C29" s="27">
        <v>1</v>
      </c>
      <c r="D29" s="23" t="s">
        <v>79</v>
      </c>
      <c r="E29" s="27">
        <v>1977</v>
      </c>
      <c r="F29" s="27" t="s">
        <v>379</v>
      </c>
      <c r="G29" s="27" t="s">
        <v>80</v>
      </c>
    </row>
    <row r="30" spans="1:7" s="26" customFormat="1" x14ac:dyDescent="0.25">
      <c r="A30" s="27" t="s">
        <v>4</v>
      </c>
      <c r="B30" s="27" t="s">
        <v>180</v>
      </c>
      <c r="C30" s="27">
        <v>1</v>
      </c>
      <c r="D30" s="23" t="s">
        <v>79</v>
      </c>
      <c r="E30" s="27">
        <v>3792</v>
      </c>
      <c r="F30" s="27" t="s">
        <v>380</v>
      </c>
      <c r="G30" s="27" t="s">
        <v>80</v>
      </c>
    </row>
    <row r="31" spans="1:7" s="26" customFormat="1" x14ac:dyDescent="0.25">
      <c r="A31" s="27" t="s">
        <v>4</v>
      </c>
      <c r="B31" s="27" t="s">
        <v>183</v>
      </c>
      <c r="C31" s="27">
        <v>1</v>
      </c>
      <c r="D31" s="23" t="s">
        <v>79</v>
      </c>
      <c r="E31" s="27">
        <v>1649</v>
      </c>
      <c r="F31" s="27" t="s">
        <v>381</v>
      </c>
      <c r="G31" s="27" t="s">
        <v>80</v>
      </c>
    </row>
    <row r="32" spans="1:7" s="26" customFormat="1" x14ac:dyDescent="0.25">
      <c r="A32" s="27" t="s">
        <v>4</v>
      </c>
      <c r="B32" s="27" t="s">
        <v>186</v>
      </c>
      <c r="C32" s="27">
        <v>1</v>
      </c>
      <c r="D32" s="23" t="s">
        <v>79</v>
      </c>
      <c r="E32" s="27">
        <v>3836</v>
      </c>
      <c r="F32" s="27" t="s">
        <v>382</v>
      </c>
      <c r="G32" s="27" t="s">
        <v>80</v>
      </c>
    </row>
    <row r="33" spans="1:7" s="26" customFormat="1" x14ac:dyDescent="0.25">
      <c r="A33" s="27" t="s">
        <v>4</v>
      </c>
      <c r="B33" s="27" t="s">
        <v>189</v>
      </c>
      <c r="C33" s="27">
        <v>1</v>
      </c>
      <c r="D33" s="23" t="s">
        <v>79</v>
      </c>
      <c r="E33" s="27">
        <v>1876</v>
      </c>
      <c r="F33" s="27" t="s">
        <v>383</v>
      </c>
      <c r="G33" s="27" t="s">
        <v>80</v>
      </c>
    </row>
    <row r="34" spans="1:7" s="26" customFormat="1" x14ac:dyDescent="0.25">
      <c r="A34" s="27" t="s">
        <v>4</v>
      </c>
      <c r="B34" s="27" t="s">
        <v>192</v>
      </c>
      <c r="C34" s="27">
        <v>1</v>
      </c>
      <c r="D34" s="23" t="s">
        <v>79</v>
      </c>
      <c r="E34" s="27">
        <v>1705</v>
      </c>
      <c r="F34" s="27" t="s">
        <v>384</v>
      </c>
      <c r="G34" s="27" t="s">
        <v>80</v>
      </c>
    </row>
    <row r="35" spans="1:7" s="26" customFormat="1" x14ac:dyDescent="0.25">
      <c r="A35" s="27" t="s">
        <v>4</v>
      </c>
      <c r="B35" s="27" t="s">
        <v>198</v>
      </c>
      <c r="C35" s="27">
        <v>1</v>
      </c>
      <c r="D35" s="23" t="s">
        <v>79</v>
      </c>
      <c r="E35" s="27">
        <v>1925</v>
      </c>
      <c r="F35" s="27" t="s">
        <v>385</v>
      </c>
      <c r="G35" s="27" t="s">
        <v>80</v>
      </c>
    </row>
    <row r="36" spans="1:7" s="26" customFormat="1" x14ac:dyDescent="0.25">
      <c r="A36" s="27" t="s">
        <v>4</v>
      </c>
      <c r="B36" s="27" t="s">
        <v>201</v>
      </c>
      <c r="C36" s="27">
        <v>1</v>
      </c>
      <c r="D36" s="23" t="s">
        <v>79</v>
      </c>
      <c r="E36" s="27">
        <v>2101</v>
      </c>
      <c r="F36" s="27" t="s">
        <v>386</v>
      </c>
      <c r="G36" s="27" t="s">
        <v>80</v>
      </c>
    </row>
    <row r="37" spans="1:7" s="26" customFormat="1" x14ac:dyDescent="0.25">
      <c r="A37" s="27" t="s">
        <v>4</v>
      </c>
      <c r="B37" s="27" t="s">
        <v>204</v>
      </c>
      <c r="C37" s="27">
        <v>1</v>
      </c>
      <c r="D37" s="23" t="s">
        <v>79</v>
      </c>
      <c r="E37" s="27">
        <v>2222</v>
      </c>
      <c r="F37" s="27" t="s">
        <v>387</v>
      </c>
      <c r="G37" s="27" t="s">
        <v>80</v>
      </c>
    </row>
    <row r="38" spans="1:7" s="26" customFormat="1" x14ac:dyDescent="0.25">
      <c r="A38" s="27" t="s">
        <v>4</v>
      </c>
      <c r="B38" s="27" t="s">
        <v>207</v>
      </c>
      <c r="C38" s="27">
        <v>1</v>
      </c>
      <c r="D38" s="23" t="s">
        <v>79</v>
      </c>
      <c r="E38" s="27">
        <v>7040</v>
      </c>
      <c r="F38" s="27" t="s">
        <v>388</v>
      </c>
      <c r="G38" s="27" t="s">
        <v>80</v>
      </c>
    </row>
    <row r="39" spans="1:7" s="26" customFormat="1" x14ac:dyDescent="0.25">
      <c r="A39" s="27" t="s">
        <v>4</v>
      </c>
      <c r="B39" s="27" t="s">
        <v>210</v>
      </c>
      <c r="C39" s="27">
        <v>1</v>
      </c>
      <c r="D39" s="23" t="s">
        <v>79</v>
      </c>
      <c r="E39" s="27">
        <v>2320</v>
      </c>
      <c r="F39" s="27" t="s">
        <v>389</v>
      </c>
      <c r="G39" s="27" t="s">
        <v>80</v>
      </c>
    </row>
    <row r="40" spans="1:7" s="26" customFormat="1" x14ac:dyDescent="0.25">
      <c r="A40" s="27" t="s">
        <v>4</v>
      </c>
      <c r="B40" s="27" t="s">
        <v>213</v>
      </c>
      <c r="C40" s="27">
        <v>1</v>
      </c>
      <c r="D40" s="23" t="s">
        <v>79</v>
      </c>
      <c r="E40" s="27">
        <v>1879</v>
      </c>
      <c r="F40" s="27" t="s">
        <v>390</v>
      </c>
      <c r="G40" s="27" t="s">
        <v>80</v>
      </c>
    </row>
    <row r="41" spans="1:7" s="26" customFormat="1" x14ac:dyDescent="0.25">
      <c r="A41" s="27" t="s">
        <v>4</v>
      </c>
      <c r="B41" s="27" t="s">
        <v>216</v>
      </c>
      <c r="C41" s="27">
        <v>1</v>
      </c>
      <c r="D41" s="23" t="s">
        <v>79</v>
      </c>
      <c r="E41" s="27">
        <v>2293</v>
      </c>
      <c r="F41" s="27" t="s">
        <v>391</v>
      </c>
      <c r="G41" s="27" t="s">
        <v>80</v>
      </c>
    </row>
    <row r="42" spans="1:7" s="26" customFormat="1" x14ac:dyDescent="0.25">
      <c r="A42" s="27" t="s">
        <v>4</v>
      </c>
      <c r="B42" s="27" t="s">
        <v>219</v>
      </c>
      <c r="C42" s="27">
        <v>1</v>
      </c>
      <c r="D42" s="23" t="s">
        <v>79</v>
      </c>
      <c r="E42" s="27">
        <v>4073</v>
      </c>
      <c r="F42" s="27" t="s">
        <v>392</v>
      </c>
      <c r="G42" s="27" t="s">
        <v>80</v>
      </c>
    </row>
    <row r="43" spans="1:7" s="26" customFormat="1" x14ac:dyDescent="0.25">
      <c r="A43" s="27" t="s">
        <v>4</v>
      </c>
      <c r="B43" s="27" t="s">
        <v>222</v>
      </c>
      <c r="C43" s="27">
        <v>1</v>
      </c>
      <c r="D43" s="23" t="s">
        <v>79</v>
      </c>
      <c r="E43" s="27">
        <v>6129</v>
      </c>
      <c r="F43" s="27" t="s">
        <v>393</v>
      </c>
      <c r="G43" s="27" t="s">
        <v>80</v>
      </c>
    </row>
    <row r="44" spans="1:7" s="26" customFormat="1" x14ac:dyDescent="0.25">
      <c r="A44" s="27" t="s">
        <v>4</v>
      </c>
      <c r="B44" s="27" t="s">
        <v>225</v>
      </c>
      <c r="C44" s="27">
        <v>1</v>
      </c>
      <c r="D44" s="23" t="s">
        <v>79</v>
      </c>
      <c r="E44" s="27">
        <v>1897</v>
      </c>
      <c r="F44" s="27" t="s">
        <v>394</v>
      </c>
      <c r="G44" s="27" t="s">
        <v>80</v>
      </c>
    </row>
    <row r="45" spans="1:7" s="26" customFormat="1" x14ac:dyDescent="0.25">
      <c r="A45" s="27" t="s">
        <v>4</v>
      </c>
      <c r="B45" s="27" t="s">
        <v>228</v>
      </c>
      <c r="C45" s="27">
        <v>1</v>
      </c>
      <c r="D45" s="23" t="s">
        <v>79</v>
      </c>
      <c r="E45" s="27">
        <v>7556</v>
      </c>
      <c r="F45" s="27" t="s">
        <v>395</v>
      </c>
      <c r="G45" s="27" t="s">
        <v>80</v>
      </c>
    </row>
    <row r="46" spans="1:7" s="26" customFormat="1" x14ac:dyDescent="0.25">
      <c r="A46" s="27" t="s">
        <v>4</v>
      </c>
      <c r="B46" s="27" t="s">
        <v>231</v>
      </c>
      <c r="C46" s="27">
        <v>1</v>
      </c>
      <c r="D46" s="23" t="s">
        <v>79</v>
      </c>
      <c r="E46" s="27">
        <v>1871</v>
      </c>
      <c r="F46" s="27" t="s">
        <v>396</v>
      </c>
      <c r="G46" s="27" t="s">
        <v>80</v>
      </c>
    </row>
    <row r="47" spans="1:7" s="26" customFormat="1" x14ac:dyDescent="0.25">
      <c r="A47" s="27" t="s">
        <v>4</v>
      </c>
      <c r="B47" s="27" t="s">
        <v>234</v>
      </c>
      <c r="C47" s="27">
        <v>1</v>
      </c>
      <c r="D47" s="23" t="s">
        <v>79</v>
      </c>
      <c r="E47" s="27">
        <v>1787</v>
      </c>
      <c r="F47" s="27" t="s">
        <v>397</v>
      </c>
      <c r="G47" s="27" t="s">
        <v>80</v>
      </c>
    </row>
    <row r="48" spans="1:7" s="26" customFormat="1" x14ac:dyDescent="0.25">
      <c r="A48" s="27" t="s">
        <v>4</v>
      </c>
      <c r="B48" s="27" t="s">
        <v>237</v>
      </c>
      <c r="C48" s="27">
        <v>1</v>
      </c>
      <c r="D48" s="23" t="s">
        <v>79</v>
      </c>
      <c r="E48" s="27">
        <v>1835</v>
      </c>
      <c r="F48" s="27" t="s">
        <v>398</v>
      </c>
      <c r="G48" s="27" t="s">
        <v>80</v>
      </c>
    </row>
    <row r="49" spans="1:7" s="26" customFormat="1" x14ac:dyDescent="0.25">
      <c r="A49" s="27" t="s">
        <v>4</v>
      </c>
      <c r="B49" s="27" t="s">
        <v>240</v>
      </c>
      <c r="C49" s="27">
        <v>1</v>
      </c>
      <c r="D49" s="23" t="s">
        <v>79</v>
      </c>
      <c r="E49" s="27">
        <v>1635</v>
      </c>
      <c r="F49" s="27" t="s">
        <v>399</v>
      </c>
      <c r="G49" s="27" t="s">
        <v>80</v>
      </c>
    </row>
    <row r="50" spans="1:7" s="26" customFormat="1" x14ac:dyDescent="0.25">
      <c r="A50" s="27" t="s">
        <v>4</v>
      </c>
      <c r="B50" s="27" t="s">
        <v>243</v>
      </c>
      <c r="C50" s="27">
        <v>1</v>
      </c>
      <c r="D50" s="23" t="s">
        <v>79</v>
      </c>
      <c r="E50" s="27">
        <v>90</v>
      </c>
      <c r="F50" s="27" t="s">
        <v>400</v>
      </c>
      <c r="G50" s="27" t="s">
        <v>80</v>
      </c>
    </row>
    <row r="51" spans="1:7" s="26" customFormat="1" x14ac:dyDescent="0.25">
      <c r="A51" s="27" t="s">
        <v>4</v>
      </c>
      <c r="B51" s="27" t="s">
        <v>246</v>
      </c>
      <c r="C51" s="27">
        <v>1</v>
      </c>
      <c r="D51" s="23" t="s">
        <v>79</v>
      </c>
      <c r="E51" s="27">
        <v>1643</v>
      </c>
      <c r="F51" s="27" t="s">
        <v>401</v>
      </c>
      <c r="G51" s="27" t="s">
        <v>80</v>
      </c>
    </row>
    <row r="52" spans="1:7" s="26" customFormat="1" x14ac:dyDescent="0.25">
      <c r="A52" s="27" t="s">
        <v>4</v>
      </c>
      <c r="B52" s="27" t="s">
        <v>249</v>
      </c>
      <c r="C52" s="27">
        <v>1</v>
      </c>
      <c r="D52" s="22" t="s">
        <v>74</v>
      </c>
      <c r="E52" s="27">
        <v>4358</v>
      </c>
      <c r="F52" s="27" t="s">
        <v>402</v>
      </c>
      <c r="G52" s="27" t="s">
        <v>251</v>
      </c>
    </row>
    <row r="53" spans="1:7" s="26" customFormat="1" x14ac:dyDescent="0.25">
      <c r="A53" s="27" t="s">
        <v>4</v>
      </c>
      <c r="B53" s="27" t="s">
        <v>253</v>
      </c>
      <c r="C53" s="27">
        <v>1</v>
      </c>
      <c r="D53" s="23" t="s">
        <v>79</v>
      </c>
      <c r="E53" s="27">
        <v>2021</v>
      </c>
      <c r="F53" s="27" t="s">
        <v>403</v>
      </c>
      <c r="G53" s="27" t="s">
        <v>80</v>
      </c>
    </row>
    <row r="54" spans="1:7" s="26" customFormat="1" x14ac:dyDescent="0.25">
      <c r="A54" s="27" t="s">
        <v>4</v>
      </c>
      <c r="B54" s="27" t="s">
        <v>256</v>
      </c>
      <c r="C54" s="27">
        <v>1</v>
      </c>
      <c r="D54" s="23" t="s">
        <v>79</v>
      </c>
      <c r="E54" s="27">
        <v>1326</v>
      </c>
      <c r="F54" s="27" t="s">
        <v>404</v>
      </c>
      <c r="G54" s="27" t="s">
        <v>80</v>
      </c>
    </row>
    <row r="55" spans="1:7" s="26" customFormat="1" x14ac:dyDescent="0.25">
      <c r="A55" s="27" t="s">
        <v>4</v>
      </c>
      <c r="B55" s="27" t="s">
        <v>273</v>
      </c>
      <c r="C55" s="27">
        <v>1</v>
      </c>
      <c r="D55" s="23" t="s">
        <v>79</v>
      </c>
      <c r="E55" s="27">
        <v>1638</v>
      </c>
      <c r="F55" s="27" t="s">
        <v>405</v>
      </c>
      <c r="G55" s="27" t="s">
        <v>80</v>
      </c>
    </row>
    <row r="56" spans="1:7" s="26" customFormat="1" x14ac:dyDescent="0.25">
      <c r="A56" s="27" t="s">
        <v>4</v>
      </c>
      <c r="B56" s="27" t="s">
        <v>276</v>
      </c>
      <c r="C56" s="27">
        <v>1</v>
      </c>
      <c r="D56" s="23" t="s">
        <v>79</v>
      </c>
      <c r="E56" s="27">
        <v>889</v>
      </c>
      <c r="F56" s="27" t="s">
        <v>406</v>
      </c>
      <c r="G56" s="27" t="s">
        <v>80</v>
      </c>
    </row>
    <row r="57" spans="1:7" s="26" customFormat="1" x14ac:dyDescent="0.25">
      <c r="A57" s="27" t="s">
        <v>4</v>
      </c>
      <c r="B57" s="27" t="s">
        <v>279</v>
      </c>
      <c r="C57" s="27">
        <v>1</v>
      </c>
      <c r="D57" s="23" t="s">
        <v>79</v>
      </c>
      <c r="E57" s="27">
        <v>2031</v>
      </c>
      <c r="F57" s="27" t="s">
        <v>407</v>
      </c>
      <c r="G57" s="27" t="s">
        <v>80</v>
      </c>
    </row>
    <row r="58" spans="1:7" s="26" customFormat="1" x14ac:dyDescent="0.25">
      <c r="A58" s="27" t="s">
        <v>4</v>
      </c>
      <c r="B58" s="27" t="s">
        <v>282</v>
      </c>
      <c r="C58" s="27">
        <v>1</v>
      </c>
      <c r="D58" s="23" t="s">
        <v>79</v>
      </c>
      <c r="E58" s="27">
        <v>4</v>
      </c>
      <c r="F58" s="27" t="s">
        <v>408</v>
      </c>
      <c r="G58" s="27" t="s">
        <v>80</v>
      </c>
    </row>
    <row r="59" spans="1:7" s="26" customFormat="1" x14ac:dyDescent="0.25">
      <c r="A59" s="27" t="s">
        <v>4</v>
      </c>
      <c r="B59" s="27" t="s">
        <v>259</v>
      </c>
      <c r="C59" s="27">
        <v>1</v>
      </c>
      <c r="D59" s="23" t="s">
        <v>79</v>
      </c>
      <c r="E59" s="27">
        <v>491</v>
      </c>
      <c r="F59" s="27" t="s">
        <v>409</v>
      </c>
      <c r="G59" s="27" t="s">
        <v>80</v>
      </c>
    </row>
    <row r="60" spans="1:7" s="26" customFormat="1" x14ac:dyDescent="0.25">
      <c r="A60" s="27" t="s">
        <v>4</v>
      </c>
      <c r="B60" s="27" t="s">
        <v>263</v>
      </c>
      <c r="C60" s="27">
        <v>1</v>
      </c>
      <c r="D60" s="23" t="s">
        <v>79</v>
      </c>
      <c r="E60" s="27">
        <v>316</v>
      </c>
      <c r="F60" s="27" t="s">
        <v>410</v>
      </c>
      <c r="G60" s="27" t="s">
        <v>80</v>
      </c>
    </row>
    <row r="61" spans="1:7" s="26" customFormat="1" x14ac:dyDescent="0.25">
      <c r="A61" s="27" t="s">
        <v>4</v>
      </c>
      <c r="B61" s="27" t="s">
        <v>266</v>
      </c>
      <c r="C61" s="27">
        <v>1</v>
      </c>
      <c r="D61" s="22" t="s">
        <v>74</v>
      </c>
      <c r="E61" s="27">
        <v>627</v>
      </c>
      <c r="F61" s="27" t="s">
        <v>411</v>
      </c>
      <c r="G61" s="27" t="s">
        <v>268</v>
      </c>
    </row>
    <row r="62" spans="1:7" s="26" customFormat="1" x14ac:dyDescent="0.25">
      <c r="A62" s="27" t="s">
        <v>4</v>
      </c>
      <c r="B62" s="27" t="s">
        <v>270</v>
      </c>
      <c r="C62" s="27">
        <v>1</v>
      </c>
      <c r="D62" s="23" t="s">
        <v>79</v>
      </c>
      <c r="E62" s="27">
        <v>298</v>
      </c>
      <c r="F62" s="27" t="s">
        <v>412</v>
      </c>
      <c r="G62" s="27" t="s">
        <v>80</v>
      </c>
    </row>
    <row r="63" spans="1:7" s="26" customFormat="1" x14ac:dyDescent="0.25">
      <c r="A63" s="27" t="s">
        <v>4</v>
      </c>
      <c r="B63" s="27" t="s">
        <v>70</v>
      </c>
      <c r="C63" s="27">
        <v>1</v>
      </c>
      <c r="D63" s="22" t="s">
        <v>74</v>
      </c>
      <c r="E63" s="27">
        <v>15107</v>
      </c>
      <c r="F63" s="27" t="s">
        <v>413</v>
      </c>
      <c r="G63" s="27" t="s">
        <v>75</v>
      </c>
    </row>
    <row r="64" spans="1:7" s="26" customFormat="1" x14ac:dyDescent="0.25">
      <c r="A64" s="27" t="s">
        <v>4</v>
      </c>
      <c r="B64" s="27" t="s">
        <v>77</v>
      </c>
      <c r="C64" s="27">
        <v>1</v>
      </c>
      <c r="D64" s="23" t="s">
        <v>79</v>
      </c>
      <c r="E64" s="27">
        <v>442</v>
      </c>
      <c r="F64" s="27" t="s">
        <v>414</v>
      </c>
      <c r="G64" s="27" t="s">
        <v>80</v>
      </c>
    </row>
    <row r="65" spans="1:7" s="26" customFormat="1" x14ac:dyDescent="0.25">
      <c r="A65" s="27" t="s">
        <v>4</v>
      </c>
      <c r="B65" s="27" t="s">
        <v>91</v>
      </c>
      <c r="C65" s="27">
        <v>1</v>
      </c>
      <c r="D65" s="23" t="s">
        <v>79</v>
      </c>
      <c r="E65" s="27">
        <v>2831</v>
      </c>
      <c r="F65" s="27" t="s">
        <v>415</v>
      </c>
      <c r="G65" s="27" t="s">
        <v>80</v>
      </c>
    </row>
    <row r="66" spans="1:7" s="26" customFormat="1" x14ac:dyDescent="0.25">
      <c r="A66" s="27" t="s">
        <v>4</v>
      </c>
      <c r="B66" s="27" t="s">
        <v>82</v>
      </c>
      <c r="C66" s="27">
        <v>1</v>
      </c>
      <c r="D66" s="23" t="s">
        <v>79</v>
      </c>
      <c r="E66" s="27">
        <v>2560</v>
      </c>
      <c r="F66" s="27" t="s">
        <v>416</v>
      </c>
      <c r="G66" s="27" t="s">
        <v>80</v>
      </c>
    </row>
    <row r="67" spans="1:7" s="26" customFormat="1" x14ac:dyDescent="0.25">
      <c r="A67" s="27" t="s">
        <v>4</v>
      </c>
      <c r="B67" s="27" t="s">
        <v>86</v>
      </c>
      <c r="C67" s="27">
        <v>1</v>
      </c>
      <c r="D67" s="22" t="s">
        <v>74</v>
      </c>
      <c r="E67" s="27">
        <v>15039</v>
      </c>
      <c r="F67" s="27" t="s">
        <v>417</v>
      </c>
      <c r="G67" s="27" t="s">
        <v>89</v>
      </c>
    </row>
    <row r="68" spans="1:7" s="26" customFormat="1" x14ac:dyDescent="0.25">
      <c r="A68" s="27" t="s">
        <v>4</v>
      </c>
      <c r="B68" s="27" t="s">
        <v>171</v>
      </c>
      <c r="C68" s="27">
        <v>1</v>
      </c>
      <c r="D68" s="23" t="s">
        <v>79</v>
      </c>
      <c r="E68" s="27">
        <v>4430</v>
      </c>
      <c r="F68" s="27" t="s">
        <v>418</v>
      </c>
      <c r="G68" s="27" t="s">
        <v>80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Results</vt:lpstr>
      <vt:lpstr>Coverage</vt:lpstr>
      <vt:lpstr>Defects</vt:lpstr>
      <vt:lpstr>Attempts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BeastCode QA Automation Engine</dc:creator>
  <dc:title/>
  <dc:subject/>
  <dc:description/>
  <cp:keywords/>
  <cp:category/>
  <cp:lastModifiedBy>BeastCode QA Engineer</cp:lastModifiedBy>
  <dcterms:created xsi:type="dcterms:W3CDTF">2026-09-25T03:00:12Z</dcterms:created>
  <dcterms:modified xsi:type="dcterms:W3CDTF">2026-09-25T03:00:12Z</dcterms:modified>
</cp:coreProperties>
</file>